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DA43" lockStructure="1"/>
  <bookViews>
    <workbookView xWindow="420" yWindow="60" windowWidth="21270" windowHeight="8708" tabRatio="924"/>
  </bookViews>
  <sheets>
    <sheet name="General" sheetId="4" r:id="rId1"/>
    <sheet name="Bank_Accounts_2018" sheetId="11" r:id="rId2"/>
    <sheet name="Form_1040NR_2018" sheetId="7" r:id="rId3"/>
    <sheet name="1040NR_Fields_2018" sheetId="8" state="hidden" r:id="rId4"/>
    <sheet name="Form_W7" sheetId="3" state="hidden" r:id="rId5"/>
    <sheet name="Lists" sheetId="5" state="hidden" r:id="rId6"/>
    <sheet name="Bank_Accounts_2017" sheetId="12" state="hidden" r:id="rId7"/>
    <sheet name="Form_1040NR_2017" sheetId="13" state="hidden" r:id="rId8"/>
    <sheet name="1040NR_Fields_2017" sheetId="15" state="hidden" r:id="rId9"/>
    <sheet name="Bank_Accounts_2016" sheetId="17" state="hidden" r:id="rId10"/>
    <sheet name="Form_1040NR_2016" sheetId="16" state="hidden" r:id="rId11"/>
    <sheet name="1040NR_Fields_2016" sheetId="14" state="hidden" r:id="rId12"/>
    <sheet name="Bank_Accounts_2015" sheetId="18" state="hidden" r:id="rId13"/>
    <sheet name="Form_1040NR_2015" sheetId="19" state="hidden" r:id="rId14"/>
    <sheet name="1040NR_Fields_2015" sheetId="20" state="hidden" r:id="rId15"/>
    <sheet name="Exchange_Rates" sheetId="21" state="hidden" r:id="rId16"/>
  </sheets>
  <functionGroups builtInGroupCount="17"/>
  <definedNames>
    <definedName name="AddLinesTotalField">#REF!</definedName>
    <definedName name="AddressField">#REF!</definedName>
    <definedName name="ApplicantsAddress1Field">Form_W7!$H$23</definedName>
    <definedName name="ApplicantsAddress2Field">Form_W7!$H$24</definedName>
    <definedName name="BeginningField">#REF!</definedName>
    <definedName name="BoxesChecked7a7bField">#REF!</definedName>
    <definedName name="CitizenshipField">Form_W7!$H$32</definedName>
    <definedName name="CityAndStateField">Form_W7!$H$52</definedName>
    <definedName name="CityField">Form_W7!$H$29</definedName>
    <definedName name="CityTownZIPField">#REF!</definedName>
    <definedName name="CollegeUniField">Form_W7!$H$51</definedName>
    <definedName name="CountryField">Form_W7!$H$28</definedName>
    <definedName name="CourtAppointedField">Form_W7!$H$57</definedName>
    <definedName name="DateOfEntryField">Form_W7!$H$43</definedName>
    <definedName name="DependantDetailField">Form_W7!$H$8</definedName>
    <definedName name="DependantField">Form_W7!$H$7</definedName>
    <definedName name="DependantSpouseField">Form_W7!$H$12</definedName>
    <definedName name="DOBField">Form_W7!$H$27</definedName>
    <definedName name="DriversLicenceField">Form_W7!$H$36</definedName>
    <definedName name="EINField">Form_W7!$H$63</definedName>
    <definedName name="EndingField">#REF!</definedName>
    <definedName name="EstateOrTrustField">#REF!</definedName>
    <definedName name="ExpDateField">Form_W7!$H$42</definedName>
    <definedName name="FemaleField">Form_W7!$H$31</definedName>
    <definedName name="FilingStatus1Field">#REF!</definedName>
    <definedName name="FilingStatus2Field">#REF!</definedName>
    <definedName name="FilingStatus3Field">#REF!</definedName>
    <definedName name="FilingStatus4Field">#REF!</definedName>
    <definedName name="FilingStatus5Field">#REF!</definedName>
    <definedName name="FilingStatus6Field">#REF!</definedName>
    <definedName name="FirstName1Field">Form_W7!$H$17</definedName>
    <definedName name="FirstName2Field">Form_W7!$H$20</definedName>
    <definedName name="FirstNameField">#REF!</definedName>
    <definedName name="ForiegnAddress1Field">Form_W7!$H$25</definedName>
    <definedName name="ForiegnAddress2Field">Form_W7!$H$26</definedName>
    <definedName name="ForiegnCountryField">#REF!</definedName>
    <definedName name="ForiegnPostCodeField">#REF!</definedName>
    <definedName name="ForiegnStateField">#REF!</definedName>
    <definedName name="ForiegnTaxIdField">Form_W7!$H$33</definedName>
    <definedName name="IDNumberField">#REF!</definedName>
    <definedName name="Income_13_1_OtherField">#REF!</definedName>
    <definedName name="Income_13_2_OtherField">#REF!</definedName>
    <definedName name="Income_14_1_OtherField">#REF!</definedName>
    <definedName name="Income_14_2_OtherField">#REF!</definedName>
    <definedName name="Income_15_1_OtherField">#REF!</definedName>
    <definedName name="Income_15_2_OtherField">#REF!</definedName>
    <definedName name="Income_2c_1_Other1Field">#REF!</definedName>
    <definedName name="Income_2c_2_Other1Field">#REF!</definedName>
    <definedName name="IndividualField">#REF!</definedName>
    <definedName name="IRSNField1">Form_W7!$H$47</definedName>
    <definedName name="IRSNField2">Form_W7!$I$47</definedName>
    <definedName name="IRSNField3">Form_W7!$J$47</definedName>
    <definedName name="IRSNField4">Form_W7!$K$47</definedName>
    <definedName name="IRSNField5">Form_W7!$L$47</definedName>
    <definedName name="IRSNField6">Form_W7!$M$47</definedName>
    <definedName name="IRSNField7">Form_W7!$N$47</definedName>
    <definedName name="IRSNField8">Form_W7!$O$47</definedName>
    <definedName name="IRSNField9">Form_W7!$P$47</definedName>
    <definedName name="IssuedByField">Form_W7!$H$40</definedName>
    <definedName name="IssuedFirstNameField">Form_W7!$H$48</definedName>
    <definedName name="IssuedLastNameField">Form_W7!$H$50</definedName>
    <definedName name="IssuedMiddleNameField">Form_W7!$H$49</definedName>
    <definedName name="ITINExistingField">Form_W7!$H$3</definedName>
    <definedName name="ITINField1">Form_W7!$H$46</definedName>
    <definedName name="ITINField2">Form_W7!$I$46</definedName>
    <definedName name="ITINField3">Form_W7!$J$46</definedName>
    <definedName name="ITINField4">Form_W7!$K$46</definedName>
    <definedName name="ITINField5">Form_W7!$L$46</definedName>
    <definedName name="ITINField6">Form_W7!$M$46</definedName>
    <definedName name="ITINField7">Form_W7!$N$46</definedName>
    <definedName name="ITINField8">Form_W7!$O$46</definedName>
    <definedName name="ITINField9">Form_W7!$P$46</definedName>
    <definedName name="ITINNewField">Form_W7!$H$2</definedName>
    <definedName name="LastName1Field">Form_W7!$H$19</definedName>
    <definedName name="LastName2Field">Form_W7!$H$22</definedName>
    <definedName name="LastNameField">#REF!</definedName>
    <definedName name="LengthOfStayField">Form_W7!$H$53</definedName>
    <definedName name="MaleField">Form_W7!$H$30</definedName>
    <definedName name="MiddleName1Field">Form_W7!$H$18</definedName>
    <definedName name="MiddleName2Field">Form_W7!$H$21</definedName>
    <definedName name="NameAndTitleField">Form_W7!$H$61</definedName>
    <definedName name="NameOfCompanyField">Form_W7!$H$62</definedName>
    <definedName name="NameOfDelegateField">Form_W7!$H$55</definedName>
    <definedName name="No">#REF!</definedName>
    <definedName name="NoDontKnowField">Form_W7!$H$44</definedName>
    <definedName name="NonResidentExceptionField">Form_W7!$H$11</definedName>
    <definedName name="NonResidentField">Form_W7!$H$5</definedName>
    <definedName name="NonResidentITINField">Form_W7!$H$4</definedName>
    <definedName name="NumberField">Form_W7!$H$41</definedName>
    <definedName name="OccupationField">#REF!</definedName>
    <definedName name="OfficeCodeField">Form_W7!$H$65</definedName>
    <definedName name="OtherDetailField">Form_W7!$H$39</definedName>
    <definedName name="OtherField">Form_W7!$H$38</definedName>
    <definedName name="OtherInstuctionsDetailField">Form_W7!$H$14</definedName>
    <definedName name="OtherInstuctionsField">Form_W7!$H$13</definedName>
    <definedName name="ParentField">Form_W7!$H$56</definedName>
    <definedName name="PassportField">Form_W7!$H$35</definedName>
    <definedName name="Payment62a_1Field">#REF!</definedName>
    <definedName name="Payment62a_2Field">#REF!</definedName>
    <definedName name="PhoneNoField">Form_W7!$H$54</definedName>
    <definedName name="PowerOfAttorneyField">Form_W7!$H$58</definedName>
    <definedName name="PTINField">Form_W7!$H$64</definedName>
    <definedName name="Refund71_1Field">#REF!</definedName>
    <definedName name="Refund71_2Field">#REF!</definedName>
    <definedName name="Refund72_1Field">#REF!</definedName>
    <definedName name="Refund72_2Field">#REF!</definedName>
    <definedName name="Refund73a_1Field">#REF!</definedName>
    <definedName name="Refund73a_2Field">#REF!</definedName>
    <definedName name="ResidentSpouseDetailField">Form_W7!$H$10</definedName>
    <definedName name="ResidentSpouseField">Form_W7!$H$9</definedName>
    <definedName name="Schedule_A_Field">#REF!</definedName>
    <definedName name="Schedule_B_Field">#REF!</definedName>
    <definedName name="Schedule_C_NoField">#REF!</definedName>
    <definedName name="Schedule_C_YesField">#REF!</definedName>
    <definedName name="Schedule_D_1NoField">#REF!</definedName>
    <definedName name="Schedule_D_1YesField">#REF!</definedName>
    <definedName name="Schedule_D_2NoField">#REF!</definedName>
    <definedName name="Schedule_D_2YesField">#REF!</definedName>
    <definedName name="Schedule_E_Field">#REF!</definedName>
    <definedName name="Schedule_F_Field">#REF!</definedName>
    <definedName name="Schedule_F_NoField">#REF!</definedName>
    <definedName name="Schedule_F_YesField">#REF!</definedName>
    <definedName name="Schedule_G_CanadaField">#REF!</definedName>
    <definedName name="Schedule_G_Date1Field">#REF!</definedName>
    <definedName name="Schedule_G_Date2Field">#REF!</definedName>
    <definedName name="Schedule_G_Date3Field">#REF!</definedName>
    <definedName name="Schedule_G_Date4Field">#REF!</definedName>
    <definedName name="Schedule_G_Date5Field">#REF!</definedName>
    <definedName name="Schedule_G_Date6Field">#REF!</definedName>
    <definedName name="Schedule_G_MexicoField">#REF!</definedName>
    <definedName name="Schedule_H_Days1Field">#REF!</definedName>
    <definedName name="Schedule_H_Days2Field">#REF!</definedName>
    <definedName name="Schedule_H_Days3Field">#REF!</definedName>
    <definedName name="Schedule_I_Field">#REF!</definedName>
    <definedName name="Schedule_I_NoField">#REF!</definedName>
    <definedName name="Schedule_I_YesField">#REF!</definedName>
    <definedName name="Schedule_J_1_NoField">#REF!</definedName>
    <definedName name="Schedule_J_1_YesField">#REF!</definedName>
    <definedName name="Schedule_J_2_NoField">#REF!</definedName>
    <definedName name="Schedule_J_2_YesField">#REF!</definedName>
    <definedName name="Schedule_K_1_NoField">#REF!</definedName>
    <definedName name="Schedule_K_1_YesField">#REF!</definedName>
    <definedName name="Schedule_K_2_NoField">#REF!</definedName>
    <definedName name="Schedule_K_2_YesField">#REF!</definedName>
    <definedName name="Schedule_L_1_AmountField">#REF!</definedName>
    <definedName name="Schedule_L_1_CountryField">#REF!</definedName>
    <definedName name="Schedule_L_1_MonthsField">#REF!</definedName>
    <definedName name="Schedule_L_1_TotalField">#REF!</definedName>
    <definedName name="Schedule_L_1_TreatyField">#REF!</definedName>
    <definedName name="Schedule_L_2_NoField">#REF!</definedName>
    <definedName name="Schedule_L_2_YesField">#REF!</definedName>
    <definedName name="Schedule_L_3_NoField">#REF!</definedName>
    <definedName name="Schedule_L_3_YesField">#REF!</definedName>
    <definedName name="SignatureFaxField">Form_W7!$H$60</definedName>
    <definedName name="SignaturePhoneField">Form_W7!$H$59</definedName>
    <definedName name="SpouseField">#REF!</definedName>
    <definedName name="TreatyArticleField">Form_W7!$H$16</definedName>
    <definedName name="TreatyCountryField">Form_W7!$H$15</definedName>
    <definedName name="TypeOfVisaField">Form_W7!$H$34</definedName>
    <definedName name="USCISField">Form_W7!$H$37</definedName>
    <definedName name="USResidentField">Form_W7!$H$6</definedName>
    <definedName name="YearField">#REF!</definedName>
    <definedName name="YesCompleteField">Form_W7!$H$45</definedName>
    <definedName name="YourselfField">#REF!</definedName>
  </definedNames>
  <calcPr calcId="145621"/>
</workbook>
</file>

<file path=xl/calcChain.xml><?xml version="1.0" encoding="utf-8"?>
<calcChain xmlns="http://schemas.openxmlformats.org/spreadsheetml/2006/main">
  <c r="J44" i="19" l="1"/>
  <c r="J43" i="19"/>
  <c r="J42" i="19"/>
  <c r="J41" i="19"/>
  <c r="J40" i="19"/>
  <c r="J39" i="19"/>
  <c r="J38" i="19"/>
  <c r="J37" i="19"/>
  <c r="J36" i="19"/>
  <c r="J35" i="19"/>
  <c r="J34" i="19"/>
  <c r="J33" i="19"/>
  <c r="J32" i="19"/>
  <c r="G62" i="20" s="1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44" i="16"/>
  <c r="J43" i="16"/>
  <c r="J42" i="16"/>
  <c r="J41" i="16"/>
  <c r="J40" i="16"/>
  <c r="J39" i="16"/>
  <c r="J38" i="16"/>
  <c r="G68" i="14" s="1"/>
  <c r="J37" i="16"/>
  <c r="G67" i="14" s="1"/>
  <c r="J36" i="16"/>
  <c r="J35" i="16"/>
  <c r="J34" i="16"/>
  <c r="G64" i="14" s="1"/>
  <c r="J33" i="16"/>
  <c r="G63" i="14" s="1"/>
  <c r="J32" i="16"/>
  <c r="G62" i="14" s="1"/>
  <c r="J31" i="16"/>
  <c r="G61" i="14" s="1"/>
  <c r="J30" i="16"/>
  <c r="G60" i="14" s="1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78" i="14"/>
  <c r="J76" i="14"/>
  <c r="G79" i="14"/>
  <c r="G78" i="14"/>
  <c r="G77" i="14"/>
  <c r="G76" i="14"/>
  <c r="J78" i="15"/>
  <c r="J76" i="15"/>
  <c r="G80" i="15"/>
  <c r="J40" i="7"/>
  <c r="J39" i="7"/>
  <c r="G70" i="14" l="1"/>
  <c r="G69" i="14"/>
  <c r="G66" i="14"/>
  <c r="G65" i="14"/>
  <c r="F26" i="12"/>
  <c r="E26" i="12"/>
  <c r="F25" i="12"/>
  <c r="E25" i="12"/>
  <c r="F24" i="12"/>
  <c r="E24" i="12"/>
  <c r="F23" i="12"/>
  <c r="E23" i="12"/>
  <c r="F22" i="12"/>
  <c r="E22" i="12"/>
  <c r="F21" i="12"/>
  <c r="E21" i="12"/>
  <c r="F20" i="12"/>
  <c r="E20" i="12"/>
  <c r="F19" i="12"/>
  <c r="E19" i="12"/>
  <c r="F18" i="12"/>
  <c r="E18" i="12"/>
  <c r="F17" i="12"/>
  <c r="E17" i="12"/>
  <c r="F16" i="12"/>
  <c r="E16" i="12"/>
  <c r="F15" i="12"/>
  <c r="E15" i="12"/>
  <c r="F14" i="12"/>
  <c r="E14" i="12"/>
  <c r="F13" i="12"/>
  <c r="E13" i="12"/>
  <c r="F12" i="12"/>
  <c r="E12" i="12"/>
  <c r="F11" i="12"/>
  <c r="E11" i="12"/>
  <c r="F10" i="12"/>
  <c r="E10" i="12"/>
  <c r="F9" i="12"/>
  <c r="E9" i="12"/>
  <c r="F8" i="12"/>
  <c r="E8" i="12"/>
  <c r="F7" i="12"/>
  <c r="E7" i="12"/>
  <c r="G71" i="8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E12" i="11"/>
  <c r="F12" i="11" s="1"/>
  <c r="E11" i="11"/>
  <c r="F11" i="11" s="1"/>
  <c r="E10" i="11"/>
  <c r="F10" i="11" s="1"/>
  <c r="E9" i="11"/>
  <c r="F9" i="11" s="1"/>
  <c r="E8" i="11"/>
  <c r="F8" i="11" s="1"/>
  <c r="E7" i="11"/>
  <c r="F7" i="11" s="1"/>
  <c r="F26" i="18"/>
  <c r="E26" i="18"/>
  <c r="F25" i="18"/>
  <c r="E25" i="18"/>
  <c r="F24" i="18"/>
  <c r="E24" i="18"/>
  <c r="F23" i="18"/>
  <c r="E23" i="18"/>
  <c r="F22" i="18"/>
  <c r="E22" i="18"/>
  <c r="F21" i="18"/>
  <c r="E21" i="18"/>
  <c r="F20" i="18"/>
  <c r="E20" i="18"/>
  <c r="F19" i="18"/>
  <c r="E19" i="18"/>
  <c r="F18" i="18"/>
  <c r="E18" i="18"/>
  <c r="F17" i="18"/>
  <c r="E17" i="18"/>
  <c r="F16" i="18"/>
  <c r="E16" i="18"/>
  <c r="F15" i="18"/>
  <c r="E15" i="18"/>
  <c r="F14" i="18"/>
  <c r="E14" i="18"/>
  <c r="F13" i="18"/>
  <c r="E13" i="18"/>
  <c r="F12" i="18"/>
  <c r="E12" i="18"/>
  <c r="F11" i="18"/>
  <c r="E11" i="18"/>
  <c r="F10" i="18"/>
  <c r="E10" i="18"/>
  <c r="F9" i="18"/>
  <c r="E9" i="18"/>
  <c r="F8" i="18"/>
  <c r="E8" i="18"/>
  <c r="F7" i="18"/>
  <c r="E7" i="18"/>
  <c r="F2" i="11" l="1"/>
  <c r="G2" i="11" s="1"/>
  <c r="F2" i="12"/>
  <c r="G2" i="12" s="1"/>
  <c r="F2" i="18"/>
  <c r="G2" i="18" s="1"/>
  <c r="I4" i="4" l="1"/>
  <c r="I5" i="4" l="1"/>
  <c r="G4" i="8"/>
  <c r="C5" i="7"/>
  <c r="G8" i="20"/>
  <c r="G8" i="14"/>
  <c r="G8" i="15"/>
  <c r="F26" i="17"/>
  <c r="E26" i="17"/>
  <c r="F25" i="17"/>
  <c r="E25" i="17"/>
  <c r="F24" i="17"/>
  <c r="E24" i="17"/>
  <c r="F23" i="17"/>
  <c r="E23" i="17"/>
  <c r="F22" i="17"/>
  <c r="E22" i="17"/>
  <c r="F21" i="17"/>
  <c r="E21" i="17"/>
  <c r="F20" i="17"/>
  <c r="E20" i="17"/>
  <c r="F19" i="17"/>
  <c r="E19" i="17"/>
  <c r="F18" i="17"/>
  <c r="E18" i="17"/>
  <c r="F17" i="17"/>
  <c r="E17" i="17"/>
  <c r="F16" i="17"/>
  <c r="E16" i="17"/>
  <c r="F15" i="17"/>
  <c r="E15" i="17"/>
  <c r="F14" i="17"/>
  <c r="E14" i="17"/>
  <c r="E13" i="17"/>
  <c r="F13" i="17" s="1"/>
  <c r="E12" i="17"/>
  <c r="F12" i="17" s="1"/>
  <c r="E11" i="17"/>
  <c r="F11" i="17" s="1"/>
  <c r="E10" i="17"/>
  <c r="F10" i="17" s="1"/>
  <c r="E9" i="17"/>
  <c r="F9" i="17" s="1"/>
  <c r="E8" i="17"/>
  <c r="F8" i="17" s="1"/>
  <c r="E7" i="17"/>
  <c r="F7" i="17" s="1"/>
  <c r="G72" i="20"/>
  <c r="G71" i="20"/>
  <c r="G36" i="20"/>
  <c r="G35" i="20"/>
  <c r="G14" i="20"/>
  <c r="G13" i="20"/>
  <c r="G12" i="20"/>
  <c r="G11" i="20"/>
  <c r="G7" i="20"/>
  <c r="G6" i="20"/>
  <c r="G5" i="20"/>
  <c r="G72" i="14"/>
  <c r="G71" i="14"/>
  <c r="G36" i="14"/>
  <c r="G35" i="14"/>
  <c r="G14" i="14"/>
  <c r="G13" i="14"/>
  <c r="G12" i="14"/>
  <c r="G11" i="14"/>
  <c r="G7" i="14"/>
  <c r="G6" i="14"/>
  <c r="G5" i="14"/>
  <c r="G71" i="15"/>
  <c r="G79" i="20"/>
  <c r="G78" i="20"/>
  <c r="G77" i="20"/>
  <c r="G76" i="20"/>
  <c r="G68" i="20"/>
  <c r="G67" i="20"/>
  <c r="G64" i="20"/>
  <c r="G63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J44" i="13"/>
  <c r="G79" i="15" s="1"/>
  <c r="J43" i="13"/>
  <c r="G78" i="15" s="1"/>
  <c r="J42" i="13"/>
  <c r="G77" i="15" s="1"/>
  <c r="J41" i="13"/>
  <c r="G76" i="15" s="1"/>
  <c r="J40" i="13"/>
  <c r="J39" i="13"/>
  <c r="J38" i="13"/>
  <c r="G68" i="15" s="1"/>
  <c r="J37" i="13"/>
  <c r="G67" i="15" s="1"/>
  <c r="J36" i="13"/>
  <c r="J35" i="13"/>
  <c r="J34" i="13"/>
  <c r="G64" i="15" s="1"/>
  <c r="J33" i="13"/>
  <c r="G63" i="15" s="1"/>
  <c r="J32" i="13"/>
  <c r="G62" i="15" s="1"/>
  <c r="J31" i="13"/>
  <c r="G61" i="15" s="1"/>
  <c r="J30" i="13"/>
  <c r="G60" i="15" s="1"/>
  <c r="J29" i="13"/>
  <c r="G59" i="15" s="1"/>
  <c r="J28" i="13"/>
  <c r="G58" i="15" s="1"/>
  <c r="J27" i="13"/>
  <c r="G57" i="15" s="1"/>
  <c r="J26" i="13"/>
  <c r="G56" i="15" s="1"/>
  <c r="J25" i="13"/>
  <c r="G55" i="15" s="1"/>
  <c r="J24" i="13"/>
  <c r="G54" i="15" s="1"/>
  <c r="J23" i="13"/>
  <c r="G53" i="15" s="1"/>
  <c r="J22" i="13"/>
  <c r="G52" i="15" s="1"/>
  <c r="J21" i="13"/>
  <c r="G51" i="15" s="1"/>
  <c r="J20" i="13"/>
  <c r="G50" i="15" s="1"/>
  <c r="J19" i="13"/>
  <c r="G49" i="15" s="1"/>
  <c r="J18" i="13"/>
  <c r="G48" i="15" s="1"/>
  <c r="J17" i="13"/>
  <c r="G47" i="15" s="1"/>
  <c r="J16" i="13"/>
  <c r="G46" i="15" s="1"/>
  <c r="J15" i="13"/>
  <c r="G45" i="15" s="1"/>
  <c r="J14" i="13"/>
  <c r="G44" i="15" s="1"/>
  <c r="J13" i="13"/>
  <c r="G43" i="15" s="1"/>
  <c r="J12" i="13"/>
  <c r="G42" i="15" s="1"/>
  <c r="J11" i="13"/>
  <c r="G41" i="15" s="1"/>
  <c r="J10" i="13"/>
  <c r="G40" i="15" s="1"/>
  <c r="J9" i="13"/>
  <c r="G39" i="15" s="1"/>
  <c r="J8" i="13"/>
  <c r="G38" i="15" s="1"/>
  <c r="J7" i="13"/>
  <c r="G37" i="15" s="1"/>
  <c r="J46" i="7"/>
  <c r="J45" i="7"/>
  <c r="G80" i="8" s="1"/>
  <c r="J44" i="7"/>
  <c r="G79" i="8" s="1"/>
  <c r="J43" i="7"/>
  <c r="G78" i="8" s="1"/>
  <c r="J42" i="7"/>
  <c r="G77" i="8" s="1"/>
  <c r="J41" i="7"/>
  <c r="G76" i="8" s="1"/>
  <c r="J38" i="7"/>
  <c r="G68" i="8" s="1"/>
  <c r="J37" i="7"/>
  <c r="G67" i="8" s="1"/>
  <c r="J36" i="7"/>
  <c r="J35" i="7"/>
  <c r="J34" i="7"/>
  <c r="G64" i="8" s="1"/>
  <c r="J33" i="7"/>
  <c r="G63" i="8" s="1"/>
  <c r="J32" i="7"/>
  <c r="G62" i="8" s="1"/>
  <c r="J31" i="7"/>
  <c r="G61" i="8" s="1"/>
  <c r="J30" i="7"/>
  <c r="G60" i="8" s="1"/>
  <c r="J29" i="7"/>
  <c r="G59" i="8" s="1"/>
  <c r="J28" i="7"/>
  <c r="G58" i="8" s="1"/>
  <c r="J27" i="7"/>
  <c r="G57" i="8" s="1"/>
  <c r="J26" i="7"/>
  <c r="G56" i="8" s="1"/>
  <c r="J25" i="7"/>
  <c r="G55" i="8" s="1"/>
  <c r="J24" i="7"/>
  <c r="G54" i="8" s="1"/>
  <c r="J23" i="7"/>
  <c r="G53" i="8" s="1"/>
  <c r="J22" i="7"/>
  <c r="G52" i="8" s="1"/>
  <c r="J21" i="7"/>
  <c r="G51" i="8" s="1"/>
  <c r="J20" i="7"/>
  <c r="G50" i="8" s="1"/>
  <c r="J19" i="7"/>
  <c r="G49" i="8" s="1"/>
  <c r="J18" i="7"/>
  <c r="G48" i="8" s="1"/>
  <c r="J17" i="7"/>
  <c r="G47" i="8" s="1"/>
  <c r="J16" i="7"/>
  <c r="G46" i="8" s="1"/>
  <c r="J15" i="7"/>
  <c r="G45" i="8" s="1"/>
  <c r="J14" i="7"/>
  <c r="G44" i="8" s="1"/>
  <c r="J13" i="7"/>
  <c r="G43" i="8" s="1"/>
  <c r="J12" i="7"/>
  <c r="G42" i="8" s="1"/>
  <c r="J11" i="7"/>
  <c r="G41" i="8" s="1"/>
  <c r="J10" i="7"/>
  <c r="G40" i="8" s="1"/>
  <c r="J9" i="7"/>
  <c r="G39" i="8" s="1"/>
  <c r="J8" i="7"/>
  <c r="G38" i="8" s="1"/>
  <c r="J7" i="7"/>
  <c r="G37" i="8" s="1"/>
  <c r="G72" i="15"/>
  <c r="G36" i="15"/>
  <c r="G35" i="15"/>
  <c r="G14" i="15"/>
  <c r="G13" i="15"/>
  <c r="G12" i="15"/>
  <c r="G11" i="15"/>
  <c r="G7" i="15"/>
  <c r="G6" i="15"/>
  <c r="G5" i="15"/>
  <c r="G36" i="8"/>
  <c r="G35" i="8"/>
  <c r="G14" i="8"/>
  <c r="G13" i="8"/>
  <c r="G12" i="8"/>
  <c r="G11" i="8"/>
  <c r="G9" i="8"/>
  <c r="G8" i="8"/>
  <c r="G7" i="8"/>
  <c r="G6" i="8"/>
  <c r="G5" i="8"/>
  <c r="G70" i="20" l="1"/>
  <c r="G69" i="20"/>
  <c r="G66" i="20"/>
  <c r="G65" i="20"/>
  <c r="G66" i="15"/>
  <c r="G65" i="15"/>
  <c r="G70" i="15"/>
  <c r="G69" i="15"/>
  <c r="G66" i="8"/>
  <c r="G65" i="8"/>
  <c r="G70" i="8"/>
  <c r="G69" i="8"/>
  <c r="G81" i="15"/>
  <c r="G81" i="8"/>
  <c r="G4" i="15"/>
  <c r="C5" i="13"/>
  <c r="G24" i="13" s="1"/>
  <c r="B3" i="12"/>
  <c r="G25" i="20"/>
  <c r="G29" i="15"/>
  <c r="F2" i="17"/>
  <c r="G2" i="17" s="1"/>
  <c r="G28" i="14" s="1"/>
  <c r="I7" i="4"/>
  <c r="G24" i="7"/>
  <c r="F24" i="7" s="1"/>
  <c r="G4" i="20" l="1"/>
  <c r="C5" i="19"/>
  <c r="G24" i="19" s="1"/>
  <c r="G18" i="20"/>
  <c r="G30" i="20"/>
  <c r="G29" i="20"/>
  <c r="G23" i="20"/>
  <c r="G28" i="20"/>
  <c r="G20" i="14"/>
  <c r="G30" i="14"/>
  <c r="G21" i="14"/>
  <c r="G27" i="14"/>
  <c r="G29" i="14"/>
  <c r="G22" i="14"/>
  <c r="G24" i="14"/>
  <c r="G25" i="14"/>
  <c r="G19" i="14"/>
  <c r="G22" i="20"/>
  <c r="G19" i="20"/>
  <c r="G27" i="20"/>
  <c r="G24" i="20"/>
  <c r="G21" i="20"/>
  <c r="G20" i="20"/>
  <c r="G18" i="14"/>
  <c r="G23" i="14"/>
  <c r="G25" i="15"/>
  <c r="G23" i="15"/>
  <c r="G21" i="15"/>
  <c r="G18" i="15"/>
  <c r="G28" i="15"/>
  <c r="G30" i="15"/>
  <c r="G27" i="15"/>
  <c r="G20" i="15"/>
  <c r="G22" i="15"/>
  <c r="G19" i="15"/>
  <c r="G24" i="15"/>
  <c r="I6" i="4"/>
  <c r="G23" i="13"/>
  <c r="G23" i="7"/>
  <c r="F23" i="7" s="1"/>
  <c r="G23" i="19" l="1"/>
  <c r="G4" i="14"/>
  <c r="C5" i="16"/>
  <c r="G24" i="16" s="1"/>
  <c r="G75" i="20"/>
  <c r="G74" i="15"/>
  <c r="G74" i="14"/>
  <c r="G75" i="14"/>
  <c r="G74" i="20"/>
  <c r="G75" i="15"/>
  <c r="G22" i="19"/>
  <c r="G23" i="16"/>
  <c r="G22" i="13"/>
  <c r="G22" i="7"/>
  <c r="F22" i="7" s="1"/>
  <c r="G16" i="8"/>
  <c r="G17" i="8"/>
  <c r="G72" i="8"/>
  <c r="G22" i="16" l="1"/>
  <c r="G29" i="8"/>
  <c r="G28" i="8"/>
  <c r="G20" i="8" l="1"/>
  <c r="G24" i="8"/>
  <c r="G22" i="8"/>
  <c r="G27" i="8"/>
  <c r="G18" i="8"/>
  <c r="G74" i="8"/>
  <c r="G23" i="8"/>
  <c r="G25" i="8"/>
  <c r="G30" i="8"/>
  <c r="G75" i="8"/>
  <c r="G19" i="8"/>
  <c r="G21" i="8"/>
  <c r="H44" i="3"/>
  <c r="H45" i="3"/>
  <c r="H38" i="3"/>
  <c r="H37" i="3"/>
  <c r="H36" i="3"/>
  <c r="H35" i="3"/>
  <c r="H58" i="3"/>
  <c r="H57" i="3"/>
  <c r="H56" i="3"/>
  <c r="H16" i="3"/>
  <c r="H15" i="3"/>
  <c r="H14" i="3"/>
  <c r="H65" i="3"/>
  <c r="H64" i="3"/>
  <c r="H63" i="3"/>
  <c r="H62" i="3"/>
  <c r="H61" i="3"/>
  <c r="H60" i="3"/>
  <c r="H59" i="3"/>
  <c r="H55" i="3"/>
  <c r="H54" i="3"/>
  <c r="H53" i="3"/>
  <c r="H52" i="3"/>
  <c r="H51" i="3"/>
  <c r="H50" i="3"/>
  <c r="H49" i="3"/>
  <c r="H48" i="3"/>
  <c r="H43" i="3"/>
  <c r="H42" i="3"/>
  <c r="H41" i="3"/>
  <c r="H40" i="3"/>
  <c r="H39" i="3"/>
  <c r="H34" i="3"/>
  <c r="H33" i="3"/>
  <c r="H32" i="3"/>
  <c r="H29" i="3"/>
  <c r="H28" i="3"/>
  <c r="H26" i="3"/>
  <c r="H25" i="3"/>
  <c r="H22" i="3"/>
  <c r="H21" i="3"/>
  <c r="H20" i="3"/>
  <c r="H19" i="3"/>
  <c r="H18" i="3"/>
  <c r="H17" i="3"/>
  <c r="H24" i="3"/>
  <c r="H23" i="3"/>
  <c r="H3" i="3"/>
  <c r="H2" i="3"/>
  <c r="H31" i="3"/>
  <c r="H30" i="3"/>
  <c r="P47" i="3" l="1"/>
  <c r="O47" i="3"/>
  <c r="N47" i="3"/>
  <c r="M47" i="3"/>
  <c r="L47" i="3"/>
  <c r="K47" i="3"/>
  <c r="J47" i="3"/>
  <c r="I47" i="3"/>
  <c r="H47" i="3"/>
  <c r="P46" i="3" l="1"/>
  <c r="O46" i="3"/>
  <c r="N46" i="3"/>
  <c r="M46" i="3"/>
  <c r="L46" i="3"/>
  <c r="K46" i="3"/>
  <c r="J46" i="3"/>
  <c r="I46" i="3"/>
  <c r="H46" i="3"/>
  <c r="H11" i="3" l="1"/>
  <c r="H12" i="3"/>
  <c r="H13" i="3"/>
  <c r="H5" i="3"/>
  <c r="H6" i="3"/>
  <c r="H7" i="3"/>
  <c r="H8" i="3"/>
  <c r="H9" i="3"/>
  <c r="H4" i="3"/>
  <c r="H27" i="3"/>
  <c r="H10" i="3"/>
</calcChain>
</file>

<file path=xl/sharedStrings.xml><?xml version="1.0" encoding="utf-8"?>
<sst xmlns="http://schemas.openxmlformats.org/spreadsheetml/2006/main" count="2727" uniqueCount="456">
  <si>
    <t>strSchedule_L_1_CountryField</t>
  </si>
  <si>
    <t>strSchedule_L_1_TreatyField</t>
  </si>
  <si>
    <t>strSchedule_L_1_MonthsField</t>
  </si>
  <si>
    <t>strSchedule_L_1_AmountField</t>
  </si>
  <si>
    <t>strSchedule_L_1_TotalField</t>
  </si>
  <si>
    <t>strBeginningField</t>
  </si>
  <si>
    <t>strEndingField</t>
  </si>
  <si>
    <t>strYearField</t>
  </si>
  <si>
    <t>strFirstNameField</t>
  </si>
  <si>
    <t>strLastNameField</t>
  </si>
  <si>
    <t>strIDNumberField</t>
  </si>
  <si>
    <t>strAddressField</t>
  </si>
  <si>
    <t>strIndividualField</t>
  </si>
  <si>
    <t>strCityTownZIPField</t>
  </si>
  <si>
    <t>strForiegnCountryField</t>
  </si>
  <si>
    <t>strForiegnStateField</t>
  </si>
  <si>
    <t>strForiegnPostCodeField</t>
  </si>
  <si>
    <t>strFilingStatus2Field</t>
  </si>
  <si>
    <t>strOccupationField</t>
  </si>
  <si>
    <t>strIncome_2c_1_Other1Field</t>
  </si>
  <si>
    <t>strIncome_2c_2_Other1Field</t>
  </si>
  <si>
    <t>strIncome_13_1_OtherField</t>
  </si>
  <si>
    <t>strIncome_13_2_OtherField</t>
  </si>
  <si>
    <t>strIncome_14_1_OtherField</t>
  </si>
  <si>
    <t>strIncome_14_2_OtherField</t>
  </si>
  <si>
    <t>strIncome_15_1_OtherField</t>
  </si>
  <si>
    <t>strIncome_15_2_OtherField</t>
  </si>
  <si>
    <t>strSchedule_A_Field</t>
  </si>
  <si>
    <t>strSchedule_B_Field</t>
  </si>
  <si>
    <t>strSchedule_C_YesField</t>
  </si>
  <si>
    <t>strSchedule_C_NoField</t>
  </si>
  <si>
    <t>strSchedule_D_1YesField</t>
  </si>
  <si>
    <t>strSchedule_D_1NoField</t>
  </si>
  <si>
    <t>strSchedule_D_2YesField</t>
  </si>
  <si>
    <t>strSchedule_D_2NoField</t>
  </si>
  <si>
    <t>strSchedule_E_Field</t>
  </si>
  <si>
    <t>strSchedule_F_YesField</t>
  </si>
  <si>
    <t>strSchedule_F_NoField</t>
  </si>
  <si>
    <t>strSchedule_F_Field</t>
  </si>
  <si>
    <t>strSchedule_G_CanadaField</t>
  </si>
  <si>
    <t>strSchedule_G_MexicoField</t>
  </si>
  <si>
    <t>strSchedule_G_Date1Field</t>
  </si>
  <si>
    <t>strSchedule_G_Date2Field</t>
  </si>
  <si>
    <t>strSchedule_I_YesField</t>
  </si>
  <si>
    <t>strSchedule_I_NoField</t>
  </si>
  <si>
    <t>strSchedule_I_Field</t>
  </si>
  <si>
    <t>strSchedule_J_1_YesField</t>
  </si>
  <si>
    <t>strSchedule_J_1_NoField</t>
  </si>
  <si>
    <t>strSchedule_J_2_YesField</t>
  </si>
  <si>
    <t>strSchedule_J_2_NoField</t>
  </si>
  <si>
    <t>strSchedule_K_1_YesField</t>
  </si>
  <si>
    <t>strSchedule_K_1_NoField</t>
  </si>
  <si>
    <t>strSchedule_K_2_YesField</t>
  </si>
  <si>
    <t>strSchedule_K_2_NoField</t>
  </si>
  <si>
    <t>strSchedule_L_2_YesField</t>
  </si>
  <si>
    <t>strSchedule_L_2_NoField</t>
  </si>
  <si>
    <t>strSchedule_L_3_YesField</t>
  </si>
  <si>
    <t>strSchedule_L_3_NoField</t>
  </si>
  <si>
    <t>a. Nonresident alien required to get an ITIN to claim tax treaty benefit</t>
  </si>
  <si>
    <t>b. Nonresident alien filing a U.S. tax return</t>
  </si>
  <si>
    <t>c. U.S. resident alien (based on days present in the United States) filing a U.S. tax return</t>
  </si>
  <si>
    <t>d. Dependent of U.S. citizen/resident alien</t>
  </si>
  <si>
    <t>Enter name and SSN/ITIN of U.S. citizen/resident alien (see instructions)</t>
  </si>
  <si>
    <t>e. Spouse of U.S. citizen/resident alien</t>
  </si>
  <si>
    <t>e. Spouse of U.S. citizen/resident alien DETAIL</t>
  </si>
  <si>
    <t>f. Nonresident alien student, professor, or researcher filing a U.S. tax return or claiming an exception</t>
  </si>
  <si>
    <t>g. Dependent/spouse of a nonresident alien holding a U.S. visa</t>
  </si>
  <si>
    <t>h. Other (see instructions)</t>
  </si>
  <si>
    <t>h. Other (see instructions) DETAIL</t>
  </si>
  <si>
    <t>Additional information for a and f: Enter treaty country</t>
  </si>
  <si>
    <t>1a. First Name</t>
  </si>
  <si>
    <t>1a. Middle Name</t>
  </si>
  <si>
    <t>1a. Last Name</t>
  </si>
  <si>
    <t>1b. First Name</t>
  </si>
  <si>
    <t>1b. Middle Name</t>
  </si>
  <si>
    <t>1b. Last Name</t>
  </si>
  <si>
    <t>2. Applicant’s mailing address  City or town, state or province, and country. Include ZIP code or postal code where appropriate</t>
  </si>
  <si>
    <t>2. Foriegn mailing address  City or town, state or province, and country. Include ZIP code or postal code where appropriate</t>
  </si>
  <si>
    <t>4. Date of birth (month / day / year)</t>
  </si>
  <si>
    <t>4. Country of birth</t>
  </si>
  <si>
    <t>4. City and state or province (optional)</t>
  </si>
  <si>
    <t>6a. Country(ies) of citizenship</t>
  </si>
  <si>
    <t>6b. Foreign tax I.D. number (if any)</t>
  </si>
  <si>
    <t>6c. Type of U.S. visa (if any), number, and expiration date</t>
  </si>
  <si>
    <t>6d. other</t>
  </si>
  <si>
    <t>Name of delegate, if applicable (type or print)"</t>
  </si>
  <si>
    <t>Phone number</t>
  </si>
  <si>
    <t>Parent</t>
  </si>
  <si>
    <t>Court-appointed guardian</t>
  </si>
  <si>
    <t>Power of Attorney</t>
  </si>
  <si>
    <t>Phone</t>
  </si>
  <si>
    <t>Fax</t>
  </si>
  <si>
    <t>Name of Company</t>
  </si>
  <si>
    <t>Name and title (type or print)</t>
  </si>
  <si>
    <t>EIN</t>
  </si>
  <si>
    <t>PTIN</t>
  </si>
  <si>
    <t>Office Code</t>
  </si>
  <si>
    <t>6g. Length of stay</t>
  </si>
  <si>
    <t>6g. City and state</t>
  </si>
  <si>
    <t>6g. Name of college/university or company (see instructions)</t>
  </si>
  <si>
    <t>Description</t>
  </si>
  <si>
    <t>6f. Issued First Name Field</t>
  </si>
  <si>
    <t>6f. Issued Middle Name Field</t>
  </si>
  <si>
    <t>6f. Issued Last Name Field</t>
  </si>
  <si>
    <t>2. Other single nonresident alien</t>
  </si>
  <si>
    <t>Your occupation in the United States</t>
  </si>
  <si>
    <t>A. Of what country or countries were you a citizen or national during the tax year?</t>
  </si>
  <si>
    <t>B. In what country did you claim residence for tax purposes during the tax year?</t>
  </si>
  <si>
    <t>C.  Yes. Have you ever applied to be a green card holder (lawful permanent resident) of the United States? .</t>
  </si>
  <si>
    <t>C.  No. Have you ever applied to be a green card holder (lawful permanent resident) of the United States? .</t>
  </si>
  <si>
    <t>D . Yes. Were you ever: 1. A U.S. citizen?</t>
  </si>
  <si>
    <t>D . No. Were you ever: 1. A U.S. citizen?</t>
  </si>
  <si>
    <t>D.  Yes. 2. A green card holder (lawful permanent resident) of the United States?</t>
  </si>
  <si>
    <t>D.  No. 2. A green card holder (lawful permanent resident) of the United States?</t>
  </si>
  <si>
    <t>E. If you had a visa on the last day of the tax year, enter your visa type. If you did not have a visa, enter your U.S. immigration status on the last day of the tax year.</t>
  </si>
  <si>
    <t>F.  Yes. Have you ever changed your visa type (nonimmigrant status) or U.S. immigration status?</t>
  </si>
  <si>
    <t>F. If you answered “Yes,” indicate the date and nature of the change.</t>
  </si>
  <si>
    <t>F.  No. Have you ever changed your visa type (nonimmigrant status) or U.S. immigration status?</t>
  </si>
  <si>
    <t>Canada. Note: If you are a resident of Canada or Mexico AND commute to work in the United States at frequent intervals,</t>
  </si>
  <si>
    <t>G.  Mexico. Note: If you are a resident of Canada or Mexico AND commute to work in the United States at frequent intervals,.</t>
  </si>
  <si>
    <t>G.  Date Entered United States.</t>
  </si>
  <si>
    <t>G. Date Departed United States.</t>
  </si>
  <si>
    <t>H.  Give number of days (including vacation, nonworkdays, and partial days) you were present in the United States during:</t>
  </si>
  <si>
    <t>I. Yes. Did you file a U.S. income tax return for any prior year?</t>
  </si>
  <si>
    <t>I. No. Did you file a U.S. income tax return for any prior year?</t>
  </si>
  <si>
    <t>I. If “Yes,” give the latest year and form number you filed</t>
  </si>
  <si>
    <t>J. Yes. Are you filing a return for a trust?</t>
  </si>
  <si>
    <t>J. No. Are you filing a return for a trust?</t>
  </si>
  <si>
    <t>J. Yes. If “Yes,” did the trust have a U.S. or foreign owner under the grantor trust rules, make a distribution or loan to a U.S. person, or receive a contribution from a U.S. person?</t>
  </si>
  <si>
    <t>K. Yes. Did you receive total compensation of $250,000 or more during the tax year?</t>
  </si>
  <si>
    <t>K. No. Did you receive total compensation of $250,000 or more during the tax year?</t>
  </si>
  <si>
    <t>K. Yes. If “Yes,” did you use an alternative method to determine the source of this compensation?</t>
  </si>
  <si>
    <t>K. No. If “Yes,” did you use an alternative method to determine the source of this compensation?</t>
  </si>
  <si>
    <t>(a) Country</t>
  </si>
  <si>
    <t>(b) Tax treaty article</t>
  </si>
  <si>
    <t>(c) Number of months claimed in prior tax years</t>
  </si>
  <si>
    <t>(d) Amount of exempt income in current tax year</t>
  </si>
  <si>
    <t>Total. Enter this amount on Form 1040NR, line 22. Do not enter it on line 8 or line 12</t>
  </si>
  <si>
    <t>2.  Were you subject to tax in a foreign country on any of the income shown in 1(d) above?</t>
  </si>
  <si>
    <t>3.  Are you claiming treaty benefits pursuant to a Competent Authority determination?</t>
  </si>
  <si>
    <t>Beginning</t>
  </si>
  <si>
    <t>And ending</t>
  </si>
  <si>
    <t>Your first name and initial</t>
  </si>
  <si>
    <t>Last name</t>
  </si>
  <si>
    <t>Identifying number (see instructions)</t>
  </si>
  <si>
    <t>Present home address (number, street, and apt. no., or rural route). If you have a P.O. box, see instructions.</t>
  </si>
  <si>
    <t>City, town or post office, state, and ZIP code. If you have a foreign address, also complete spaces below. See instructions.</t>
  </si>
  <si>
    <t>Individual</t>
  </si>
  <si>
    <t>Estate Or Trust</t>
  </si>
  <si>
    <t>Foreign country name</t>
  </si>
  <si>
    <t>Foreign province/state/county</t>
  </si>
  <si>
    <t>Foreign postal code</t>
  </si>
  <si>
    <t>3. Married resident of Canada or Mexico or married U.S. national</t>
  </si>
  <si>
    <t>1. Single resident of Canada or Mexico or single U.S. national</t>
  </si>
  <si>
    <t>4. Married resident of South Korea</t>
  </si>
  <si>
    <t>5. Other married nonresident alien</t>
  </si>
  <si>
    <t>6. Qualifying widow(er) (see instructions)</t>
  </si>
  <si>
    <t>strSchedule_G_Date3Field</t>
  </si>
  <si>
    <t>strSchedule_G_Date4Field</t>
  </si>
  <si>
    <t>strSchedule_G_Date5Field</t>
  </si>
  <si>
    <t>strSchedule_G_Date6Field</t>
  </si>
  <si>
    <t>FieldName</t>
  </si>
  <si>
    <t>Type</t>
  </si>
  <si>
    <t>ValueToSet</t>
  </si>
  <si>
    <t>ValueToUnset</t>
  </si>
  <si>
    <t>Year</t>
  </si>
  <si>
    <t>Example</t>
  </si>
  <si>
    <t>JOHN W</t>
  </si>
  <si>
    <t>SMITH</t>
  </si>
  <si>
    <t>999 99 9999</t>
  </si>
  <si>
    <t>17 London Road</t>
  </si>
  <si>
    <t>Combo, String</t>
  </si>
  <si>
    <t>UNITED KINGDOM</t>
  </si>
  <si>
    <t>LONDON</t>
  </si>
  <si>
    <t>N3 6TH</t>
  </si>
  <si>
    <t>Combo, Integer</t>
  </si>
  <si>
    <t>Text</t>
  </si>
  <si>
    <t>""</t>
  </si>
  <si>
    <t>Yes</t>
  </si>
  <si>
    <t>No</t>
  </si>
  <si>
    <t>"No"</t>
  </si>
  <si>
    <t>mm/dd/yyyy</t>
  </si>
  <si>
    <t>07/20/2017</t>
  </si>
  <si>
    <t>07/27/2017</t>
  </si>
  <si>
    <t>1040X</t>
  </si>
  <si>
    <t>1</t>
  </si>
  <si>
    <t xml:space="preserve">SOLE PROPRIETOR </t>
  </si>
  <si>
    <t>0</t>
  </si>
  <si>
    <t>00</t>
  </si>
  <si>
    <t>11</t>
  </si>
  <si>
    <t>n/a</t>
  </si>
  <si>
    <t>13987.09</t>
  </si>
  <si>
    <t>6d Issued by</t>
  </si>
  <si>
    <t>6d. No</t>
  </si>
  <si>
    <t>6d. Exp. Date</t>
  </si>
  <si>
    <t>6d. Date of entry into the United States (MM/DD/YYYY)</t>
  </si>
  <si>
    <t>2. Applicant’s mailing address Street address, apartment number, or rural route number</t>
  </si>
  <si>
    <t>2</t>
  </si>
  <si>
    <t>Treaty article number</t>
  </si>
  <si>
    <t>WILLIAM</t>
  </si>
  <si>
    <t>JOHN</t>
  </si>
  <si>
    <t>IPS</t>
  </si>
  <si>
    <t>01/26/2024</t>
  </si>
  <si>
    <t>First Name</t>
  </si>
  <si>
    <t>Middle Name</t>
  </si>
  <si>
    <t>Last Name</t>
  </si>
  <si>
    <t>City</t>
  </si>
  <si>
    <t>Country</t>
  </si>
  <si>
    <t>County</t>
  </si>
  <si>
    <t>Post Code</t>
  </si>
  <si>
    <t>Male</t>
  </si>
  <si>
    <t>Male/Female</t>
  </si>
  <si>
    <t>Country of Birth</t>
  </si>
  <si>
    <t>98 765 8745</t>
  </si>
  <si>
    <t>Item</t>
  </si>
  <si>
    <t>Input</t>
  </si>
  <si>
    <t>dd/mm/yyyy</t>
  </si>
  <si>
    <t>2. Foriegn mailing address, Street address, apartment number, or rural route number</t>
  </si>
  <si>
    <t>Barnet, London, United Kingdom, EN4 6TH</t>
  </si>
  <si>
    <t>EN4 6TH</t>
  </si>
  <si>
    <t>95</t>
  </si>
  <si>
    <t xml:space="preserve">   </t>
  </si>
  <si>
    <t>Value</t>
  </si>
  <si>
    <t>Parameter</t>
  </si>
  <si>
    <t>Set</t>
  </si>
  <si>
    <t>Jimmy</t>
  </si>
  <si>
    <t>william</t>
  </si>
  <si>
    <t>smith</t>
  </si>
  <si>
    <t>17 London road</t>
  </si>
  <si>
    <t>barnet, london, united kingdom, en4 6th</t>
  </si>
  <si>
    <t>ITINNewField</t>
  </si>
  <si>
    <t>ITINExistingField</t>
  </si>
  <si>
    <t>NonResidentITINField</t>
  </si>
  <si>
    <t>NonResidentField</t>
  </si>
  <si>
    <t>USResidentField</t>
  </si>
  <si>
    <t>DependantField</t>
  </si>
  <si>
    <t>DependantDetailField</t>
  </si>
  <si>
    <t>ResidentSpouseField</t>
  </si>
  <si>
    <t>ResidentSpouseDetailField</t>
  </si>
  <si>
    <t>NonResidentExceptionField</t>
  </si>
  <si>
    <t>DependantSpouseField</t>
  </si>
  <si>
    <t>TreatyCountryField</t>
  </si>
  <si>
    <t>TreatyArticleField</t>
  </si>
  <si>
    <t xml:space="preserve">FirstName1Field </t>
  </si>
  <si>
    <t xml:space="preserve">MiddleName1Field </t>
  </si>
  <si>
    <t xml:space="preserve">LastName1Field </t>
  </si>
  <si>
    <t xml:space="preserve">FirstName2Field </t>
  </si>
  <si>
    <t xml:space="preserve">MiddleName2Field </t>
  </si>
  <si>
    <t xml:space="preserve">LastName2Field </t>
  </si>
  <si>
    <t>ApplicantsAddress1Field</t>
  </si>
  <si>
    <t>ApplicantsAddress2Field</t>
  </si>
  <si>
    <t>ForiegnAddress1Field</t>
  </si>
  <si>
    <t>ForiegnAddress2Field</t>
  </si>
  <si>
    <t>DOBField</t>
  </si>
  <si>
    <t>CountryField</t>
  </si>
  <si>
    <t>CityField</t>
  </si>
  <si>
    <t>MaleField</t>
  </si>
  <si>
    <t>FemaleField</t>
  </si>
  <si>
    <t>CitizenshipField</t>
  </si>
  <si>
    <t>ForiegnTaxIdField</t>
  </si>
  <si>
    <t>TypeOfVisaField</t>
  </si>
  <si>
    <t>PassportField</t>
  </si>
  <si>
    <t>DriversLicenceField</t>
  </si>
  <si>
    <t>USCISField</t>
  </si>
  <si>
    <t>OtherField</t>
  </si>
  <si>
    <t>OtherDetailField</t>
  </si>
  <si>
    <t>IssuedByField</t>
  </si>
  <si>
    <t>NumberField</t>
  </si>
  <si>
    <t>ExpDateField</t>
  </si>
  <si>
    <t>DateOfEntryField</t>
  </si>
  <si>
    <t>NoDontKnowField</t>
  </si>
  <si>
    <t>YesCompleteField</t>
  </si>
  <si>
    <t>IssuedFirstNameField</t>
  </si>
  <si>
    <t>IssuedMiddleNameField</t>
  </si>
  <si>
    <t>IssuedLastNameField</t>
  </si>
  <si>
    <t>CollegeUniField</t>
  </si>
  <si>
    <t>CityAndStateField</t>
  </si>
  <si>
    <t>LengthOfStayField</t>
  </si>
  <si>
    <t>PhoneNoField</t>
  </si>
  <si>
    <t>NameOfDelegateField</t>
  </si>
  <si>
    <t>ParentField</t>
  </si>
  <si>
    <t>CourtAppointedField</t>
  </si>
  <si>
    <t>PowerOfAttorneyField</t>
  </si>
  <si>
    <t>SignaturePhoneField</t>
  </si>
  <si>
    <t>SignatureFaxField</t>
  </si>
  <si>
    <t>NameAndTitleField</t>
  </si>
  <si>
    <t>NameOfCompanyField</t>
  </si>
  <si>
    <t>EINField</t>
  </si>
  <si>
    <t>PTINField</t>
  </si>
  <si>
    <t>OfficeCodeField</t>
  </si>
  <si>
    <t>OtherInstuctionsField</t>
  </si>
  <si>
    <t>OtherInstuctionsDetailField</t>
  </si>
  <si>
    <t>ERSN</t>
  </si>
  <si>
    <t>ITIN</t>
  </si>
  <si>
    <t>ITINField1-9</t>
  </si>
  <si>
    <t>IRSNField1-9</t>
  </si>
  <si>
    <t>Yes/No</t>
  </si>
  <si>
    <t>5. Male/Female</t>
  </si>
  <si>
    <t>Female</t>
  </si>
  <si>
    <t>New</t>
  </si>
  <si>
    <t>Renew</t>
  </si>
  <si>
    <t>Apply for a New ITIN / Renew an Existing ITIN</t>
  </si>
  <si>
    <t>New/Renew</t>
  </si>
  <si>
    <t>Passport</t>
  </si>
  <si>
    <t>Driver’s license/State I.D.</t>
  </si>
  <si>
    <t>USCIS documentation</t>
  </si>
  <si>
    <t>Other</t>
  </si>
  <si>
    <r>
      <t xml:space="preserve">6d. Passport </t>
    </r>
    <r>
      <rPr>
        <b/>
        <i/>
        <sz val="10"/>
        <color theme="1"/>
        <rFont val="Calibri"/>
        <family val="2"/>
        <scheme val="minor"/>
      </rPr>
      <t>OR</t>
    </r>
    <r>
      <rPr>
        <i/>
        <sz val="9"/>
        <color theme="1"/>
        <rFont val="Calibri"/>
        <family val="2"/>
        <scheme val="minor"/>
      </rPr>
      <t xml:space="preserve"> Driver’s license/State I.D. </t>
    </r>
    <r>
      <rPr>
        <b/>
        <i/>
        <sz val="10"/>
        <color theme="1"/>
        <rFont val="Calibri"/>
        <family val="2"/>
        <scheme val="minor"/>
      </rPr>
      <t>OR</t>
    </r>
    <r>
      <rPr>
        <i/>
        <sz val="9"/>
        <color theme="1"/>
        <rFont val="Calibri"/>
        <family val="2"/>
        <scheme val="minor"/>
      </rPr>
      <t xml:space="preserve"> USCIS documentation </t>
    </r>
    <r>
      <rPr>
        <b/>
        <i/>
        <sz val="10"/>
        <color theme="1"/>
        <rFont val="Calibri"/>
        <family val="2"/>
        <scheme val="minor"/>
      </rPr>
      <t>OR</t>
    </r>
    <r>
      <rPr>
        <i/>
        <sz val="9"/>
        <color theme="1"/>
        <rFont val="Calibri"/>
        <family val="2"/>
        <scheme val="minor"/>
      </rPr>
      <t xml:space="preserve"> Other</t>
    </r>
  </si>
  <si>
    <t>Yourself</t>
  </si>
  <si>
    <t>Spouse</t>
  </si>
  <si>
    <t>Canada</t>
  </si>
  <si>
    <t>Mexico</t>
  </si>
  <si>
    <t xml:space="preserve"> </t>
  </si>
  <si>
    <t>2016 1040NR, 1040X</t>
  </si>
  <si>
    <t>1. Parent
2. Court-appointed guardian
3. Power of Attorney</t>
  </si>
  <si>
    <t>5. Other No/Do not know. Skip line 6f.  
Yes. Complete line 6f. If more than one, list on a sheet and attach to this form (see instructions).</t>
  </si>
  <si>
    <t>Other No/Do not know</t>
  </si>
  <si>
    <t>EXAMPLE</t>
  </si>
  <si>
    <r>
      <t xml:space="preserve">Identifying number
</t>
    </r>
    <r>
      <rPr>
        <i/>
        <sz val="9"/>
        <color theme="1"/>
        <rFont val="Calibri"/>
        <family val="2"/>
        <scheme val="minor"/>
      </rPr>
      <t>(with no spaces)</t>
    </r>
  </si>
  <si>
    <r>
      <t xml:space="preserve">Address </t>
    </r>
    <r>
      <rPr>
        <i/>
        <sz val="9"/>
        <color theme="1"/>
        <rFont val="Calibri"/>
        <family val="2"/>
        <scheme val="minor"/>
      </rPr>
      <t>(Line 2)</t>
    </r>
  </si>
  <si>
    <r>
      <t xml:space="preserve">Address </t>
    </r>
    <r>
      <rPr>
        <i/>
        <sz val="9"/>
        <color theme="1"/>
        <rFont val="Calibri"/>
        <family val="2"/>
        <scheme val="minor"/>
      </rPr>
      <t>(Line 1)</t>
    </r>
  </si>
  <si>
    <t>DOB  (dd/mm/yyyy)</t>
  </si>
  <si>
    <t>Locked</t>
  </si>
  <si>
    <t>Select from list</t>
  </si>
  <si>
    <t>Enter text</t>
  </si>
  <si>
    <t>Legend</t>
  </si>
  <si>
    <t>Blank, Canada or Mexico</t>
  </si>
  <si>
    <t>Apt. no.</t>
  </si>
  <si>
    <t>2. Single nonresident alien</t>
  </si>
  <si>
    <t>22. Total income exempt by a treaty from page 5, Schedule OI, Item L (1) - WHOLE</t>
  </si>
  <si>
    <t>22. Total income exempt by a treaty from page 5, Schedule OI, Item L (1) - DECIMAL</t>
  </si>
  <si>
    <t>strTotalIncomeExempt1Field</t>
  </si>
  <si>
    <t>12500</t>
  </si>
  <si>
    <t>62a. Form(s) W-2 and 1099 - WHOLE</t>
  </si>
  <si>
    <t>62a. Form(s) W-2 and 1099 - DECIMAL</t>
  </si>
  <si>
    <t>strTotalIncomeExempt2Field</t>
  </si>
  <si>
    <t>71. Add lines 62a through 70. These are your total payments - WHOLE</t>
  </si>
  <si>
    <t>71. Add lines 62a through 70. These are your total payments - DECIMAL</t>
  </si>
  <si>
    <t>strTotalPayments1Field</t>
  </si>
  <si>
    <t>strTotalPayments2Field</t>
  </si>
  <si>
    <t>strTotalOverpaid1Field</t>
  </si>
  <si>
    <t>strTotalOverpaid2Field</t>
  </si>
  <si>
    <t>72. If line 71 is more than line 61, subtract line 61 from line 71. This is the amount you overpaid - DECIMAL</t>
  </si>
  <si>
    <t>72. If line 71 is more than line 61, subtract line 61 from line 71. This is the amount you overpaid - WHOLE</t>
  </si>
  <si>
    <t xml:space="preserve">2. Interest: Other - WHOLE </t>
  </si>
  <si>
    <t xml:space="preserve">2. Interest: Other - DECIMAL </t>
  </si>
  <si>
    <t>13. Add lines 1a through 12 in columns (a) through (d) - WHOLE</t>
  </si>
  <si>
    <t>13. Add lines 1a through 12 in columns (a) through (d) - DECIMAL</t>
  </si>
  <si>
    <t>14. Multiply line 13 by rate of tax at top of each column - WHOLE</t>
  </si>
  <si>
    <t>15. Tax on income not effectively connected with a U.S. trade or business - WHOLE</t>
  </si>
  <si>
    <t>14. Multiply line 13 by rate of tax at top of each column - DECIMAL</t>
  </si>
  <si>
    <t>15. Tax on income not effectively connected with a U.S. trade or business - DECIMAL</t>
  </si>
  <si>
    <t>1. This is the first year you are making an election to treat income from real property located in the United States as effectively connected with a U.S. trade or business under section 871(d). See instructions</t>
  </si>
  <si>
    <t>2. You have made an election in a previous year that has not been revoked, to treat income from real property located in the United States as effectively connected with a U.S. trade or business under section 871(d). See instructions</t>
  </si>
  <si>
    <t>18</t>
  </si>
  <si>
    <t>JANUARY 1</t>
  </si>
  <si>
    <t>DECEMBER 31</t>
  </si>
  <si>
    <t>strTotalRefund1Field</t>
  </si>
  <si>
    <t>strTotalRefund2Field</t>
  </si>
  <si>
    <t>73a. If line 71 is more than line 61, subtract line 61 from line 71. This is the amount you overpaid - WHOLE</t>
  </si>
  <si>
    <t>73a. If line 71 is more than line 61, subtract line 61 from line 71. This is the amount you overpaid - DECIMAL</t>
  </si>
  <si>
    <t>Data</t>
  </si>
  <si>
    <t>Default</t>
  </si>
  <si>
    <t>Mandatory</t>
  </si>
  <si>
    <t>strSchedule_G_Date7Field</t>
  </si>
  <si>
    <t>strSchedule_G_Date8Field</t>
  </si>
  <si>
    <t>Tax Treaty</t>
  </si>
  <si>
    <t>Apt. No</t>
  </si>
  <si>
    <t>Optional</t>
  </si>
  <si>
    <t>Mandatory / Optional</t>
  </si>
  <si>
    <r>
      <t xml:space="preserve"> - </t>
    </r>
    <r>
      <rPr>
        <b/>
        <sz val="12"/>
        <color theme="1"/>
        <rFont val="Calibri"/>
        <family val="2"/>
        <scheme val="minor"/>
      </rPr>
      <t>Mandatory</t>
    </r>
    <r>
      <rPr>
        <sz val="12"/>
        <color theme="1"/>
        <rFont val="Calibri"/>
        <family val="2"/>
        <scheme val="minor"/>
      </rPr>
      <t xml:space="preserve"> Items MUST be completed</t>
    </r>
  </si>
  <si>
    <t>Total</t>
  </si>
  <si>
    <t>Bank</t>
  </si>
  <si>
    <t>Sort Code</t>
  </si>
  <si>
    <t>Account Number</t>
  </si>
  <si>
    <t>IBAN</t>
  </si>
  <si>
    <t>Post Code/ZIP</t>
  </si>
  <si>
    <t>County/State</t>
  </si>
  <si>
    <t>Town/City</t>
  </si>
  <si>
    <t>Currency</t>
  </si>
  <si>
    <t>£</t>
  </si>
  <si>
    <t>Nationwide</t>
  </si>
  <si>
    <t>GB08 NAIA 0701 1675 9345 27</t>
  </si>
  <si>
    <t>Swindon</t>
  </si>
  <si>
    <t>Wiltshire</t>
  </si>
  <si>
    <t>SN38 1NW</t>
  </si>
  <si>
    <t>Nationwide House</t>
  </si>
  <si>
    <t>Pipers Way</t>
  </si>
  <si>
    <t>Address 1</t>
  </si>
  <si>
    <t>Address 2</t>
  </si>
  <si>
    <t>Total ($)</t>
  </si>
  <si>
    <t>Exchange Rate ($)</t>
  </si>
  <si>
    <t>$15,567.99</t>
  </si>
  <si>
    <t>Complete all YELLOW cells</t>
  </si>
  <si>
    <t>strAppNoField</t>
  </si>
  <si>
    <t>strSchedule_M_1_YesField</t>
  </si>
  <si>
    <t>strSchedule_M_2_YesField</t>
  </si>
  <si>
    <t>strFormsW210991Field</t>
  </si>
  <si>
    <t>strFormsW210992Field</t>
  </si>
  <si>
    <t>Bromley</t>
  </si>
  <si>
    <t>Kent</t>
  </si>
  <si>
    <t>United Kingdom</t>
  </si>
  <si>
    <t>strSchedule_H_Days1Field</t>
  </si>
  <si>
    <t>strSchedule_H_Days2Field</t>
  </si>
  <si>
    <t>strSchedule_H_Days3Field</t>
  </si>
  <si>
    <t>strBoxesChecked7a7bField</t>
  </si>
  <si>
    <t>strYourselfField</t>
  </si>
  <si>
    <t>strAddLinesTotalField</t>
  </si>
  <si>
    <t>Combo, Text</t>
  </si>
  <si>
    <t>"Yes"</t>
  </si>
  <si>
    <t>7a. Yourself. If someone can claim you as a dependent, do not check box 7a</t>
  </si>
  <si>
    <t>Integer</t>
  </si>
  <si>
    <t>Boxes checked on 7a and 7b</t>
  </si>
  <si>
    <t>Add numbers on lines above</t>
  </si>
  <si>
    <t>strSchedule_M_2_NoField</t>
  </si>
  <si>
    <r>
      <t xml:space="preserve">Read the </t>
    </r>
    <r>
      <rPr>
        <b/>
        <sz val="14"/>
        <color theme="1"/>
        <rFont val="Calibri"/>
        <family val="2"/>
        <scheme val="minor"/>
      </rPr>
      <t>Description</t>
    </r>
    <r>
      <rPr>
        <sz val="14"/>
        <color theme="1"/>
        <rFont val="Calibri"/>
        <family val="2"/>
        <scheme val="minor"/>
      </rPr>
      <t xml:space="preserve"> then </t>
    </r>
    <r>
      <rPr>
        <b/>
        <sz val="14"/>
        <color theme="1"/>
        <rFont val="Calibri"/>
        <family val="2"/>
        <scheme val="minor"/>
      </rPr>
      <t xml:space="preserve">ENTER/SELECT </t>
    </r>
    <r>
      <rPr>
        <sz val="14"/>
        <color theme="1"/>
        <rFont val="Calibri"/>
        <family val="2"/>
        <scheme val="minor"/>
      </rPr>
      <t>answer in</t>
    </r>
    <r>
      <rPr>
        <b/>
        <sz val="14"/>
        <color theme="1"/>
        <rFont val="Calibri"/>
        <family val="2"/>
        <scheme val="minor"/>
      </rPr>
      <t xml:space="preserve"> Yellow Cells</t>
    </r>
  </si>
  <si>
    <t xml:space="preserve">Select Year </t>
  </si>
  <si>
    <t>10/27/1972</t>
  </si>
  <si>
    <t>Exchange Rates used</t>
  </si>
  <si>
    <t>Last Business Date of the year</t>
  </si>
  <si>
    <t>GBP/USD Rate</t>
  </si>
  <si>
    <t>Please complete all YELLOW boxes first then select Year</t>
  </si>
  <si>
    <t>https://fx-rate.net/historical/?c_input=EUR&amp;cp_input=USD&amp;date_to_input=2018-12-31&amp;range_input=30</t>
  </si>
  <si>
    <t>N/A</t>
  </si>
  <si>
    <t xml:space="preserve"> C.  Have you ever applied to be a green card holder (lawful permanent resident) of the United States? .</t>
  </si>
  <si>
    <t xml:space="preserve"> D. Were you ever: 1. A U.S. citizen?</t>
  </si>
  <si>
    <t xml:space="preserve"> D.  2. A green card holder (lawful permanent resident) of the United States?</t>
  </si>
  <si>
    <t xml:space="preserve"> E. If you had a visa on the last day of the tax year, enter your visa type. If you did not have a visa, enter your U.S. immigration status on the last day of the tax year.</t>
  </si>
  <si>
    <t xml:space="preserve"> F.  Have you ever changed your visa type (nonimmigrant status) or U.S. immigration status?</t>
  </si>
  <si>
    <t xml:space="preserve"> F. If previous is “Yes,” indicate the date and nature of the change.</t>
  </si>
  <si>
    <t xml:space="preserve"> Canada/Mexico. Note: If you are a resident of Canada or Mexico AND commute to work in the United States at frequent intervals,</t>
  </si>
  <si>
    <t xml:space="preserve"> G.  List all dates you entered and left the United States :  Date Entered United States - 1</t>
  </si>
  <si>
    <t xml:space="preserve"> Date Departed United States - 1</t>
  </si>
  <si>
    <t xml:space="preserve"> Date Entered United States - 2</t>
  </si>
  <si>
    <t xml:space="preserve"> Date Departed United States - 2</t>
  </si>
  <si>
    <t xml:space="preserve"> Date Entered United States - 3</t>
  </si>
  <si>
    <t xml:space="preserve"> Date Departed United States - 3</t>
  </si>
  <si>
    <t xml:space="preserve"> Date Entered United States - 4</t>
  </si>
  <si>
    <t xml:space="preserve"> Date Departed United States - </t>
  </si>
  <si>
    <t xml:space="preserve"> I. Did you file a U.S. income tax return for any prior year?</t>
  </si>
  <si>
    <t xml:space="preserve"> I. If previous is “Yes,” give the latest year and form number you filed</t>
  </si>
  <si>
    <t xml:space="preserve"> J. Are you filing a return for a trust?</t>
  </si>
  <si>
    <t xml:space="preserve"> J. If previous is “Yes,” did the trust have a U.S. or foreign owner under the grantor trust rules, make a distribution or loan to a U.S. person, or receive a contribution from a U.S. person?</t>
  </si>
  <si>
    <t xml:space="preserve"> K. Did you receive total compensation of $250,000 or more during the tax year?</t>
  </si>
  <si>
    <t xml:space="preserve"> K. If previous is  “Yes,” did you use an alternative method to determine the source of this compensation?</t>
  </si>
  <si>
    <t xml:space="preserve"> 2.  Were you subject to tax in a foreign country on any of the income shown in 1(d) above?</t>
  </si>
  <si>
    <t xml:space="preserve"> 3.  Are you claiming treaty benefits pursuant to a Competent Authority determination?</t>
  </si>
  <si>
    <t xml:space="preserve"> 1. This is the first year you are making an election to treat income from real property located in the United States as effectively connected with a U.S. trade or business under section 871(d). See instructions</t>
  </si>
  <si>
    <t xml:space="preserve"> 2. You have made an election in a previous year that has not been revoked, to treat income from real property located in the United States as effectively connected with a U.S. trade or business under section 871(d). See instructions</t>
  </si>
  <si>
    <t xml:space="preserve"> H.  Give number of days (including vacation, nonworkdays, and partial days) you were present in the United States during 2016</t>
  </si>
  <si>
    <t xml:space="preserve"> H.  Give number of days (including vacation, nonworkdays, and partial days) you were present in the United States during 2017</t>
  </si>
  <si>
    <t xml:space="preserve"> H.  Give number of days (including vacation, nonworkdays, and partial days) you were present in the United States during 2018</t>
  </si>
  <si>
    <t>999-99-9999</t>
  </si>
  <si>
    <r>
      <t xml:space="preserve">If </t>
    </r>
    <r>
      <rPr>
        <b/>
        <i/>
        <sz val="9"/>
        <color theme="1"/>
        <rFont val="Calibri"/>
        <family val="2"/>
        <scheme val="minor"/>
      </rPr>
      <t>FLAT</t>
    </r>
    <r>
      <rPr>
        <i/>
        <sz val="9"/>
        <color theme="1"/>
        <rFont val="Calibri"/>
        <family val="2"/>
        <scheme val="minor"/>
      </rPr>
      <t xml:space="preserve"> enter </t>
    </r>
    <r>
      <rPr>
        <b/>
        <i/>
        <sz val="9"/>
        <color theme="1"/>
        <rFont val="Calibri"/>
        <family val="2"/>
        <scheme val="minor"/>
      </rPr>
      <t>Falt Number</t>
    </r>
  </si>
  <si>
    <t>70 London Road</t>
  </si>
  <si>
    <t>Holly Court, London 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</si>
</sst>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yy"/>
    <numFmt numFmtId="165" formatCode="[$$-409]#,##0.00"/>
    <numFmt numFmtId="166" formatCode="#,##0.0000"/>
    <numFmt numFmtId="167" formatCode="mm/dd/yy"/>
    <numFmt numFmtId="168" formatCode="0.0000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1" fillId="3" borderId="0" applyNumberFormat="0" applyBorder="0" applyAlignment="0" applyProtection="0"/>
    <xf numFmtId="0" fontId="19" fillId="4" borderId="0" applyNumberFormat="0" applyBorder="0" applyAlignment="0" applyProtection="0"/>
    <xf numFmtId="0" fontId="28" fillId="0" borderId="0" applyNumberFormat="0" applyFill="0" applyBorder="0" applyAlignment="0" applyProtection="0"/>
  </cellStyleXfs>
  <cellXfs count="36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3" fillId="0" borderId="3" xfId="0" applyFont="1" applyBorder="1" applyAlignment="1" applyProtection="1">
      <alignment horizontal="center" vertical="center" wrapText="1"/>
    </xf>
    <xf numFmtId="0" fontId="3" fillId="0" borderId="4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8" xfId="0" applyFont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alignment vertical="center"/>
    </xf>
    <xf numFmtId="0" fontId="2" fillId="0" borderId="11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0" borderId="6" xfId="0" applyFont="1" applyBorder="1" applyAlignment="1">
      <alignment vertical="center" wrapText="1"/>
    </xf>
    <xf numFmtId="0" fontId="2" fillId="0" borderId="6" xfId="0" applyFont="1" applyBorder="1" applyAlignment="1" applyProtection="1">
      <alignment vertical="center"/>
    </xf>
    <xf numFmtId="0" fontId="2" fillId="0" borderId="9" xfId="0" applyFont="1" applyBorder="1" applyAlignment="1" applyProtection="1">
      <alignment vertical="center"/>
    </xf>
    <xf numFmtId="0" fontId="2" fillId="0" borderId="12" xfId="0" applyFont="1" applyBorder="1" applyAlignment="1" applyProtection="1">
      <alignment vertical="center"/>
    </xf>
    <xf numFmtId="0" fontId="2" fillId="0" borderId="6" xfId="0" applyFont="1" applyBorder="1" applyAlignment="1" applyProtection="1">
      <alignment vertical="center" wrapText="1"/>
    </xf>
    <xf numFmtId="49" fontId="0" fillId="0" borderId="0" xfId="0" applyNumberFormat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left" vertical="center"/>
    </xf>
    <xf numFmtId="0" fontId="1" fillId="2" borderId="5" xfId="0" applyFont="1" applyFill="1" applyBorder="1" applyAlignment="1" applyProtection="1">
      <alignment horizontal="left" vertical="center"/>
      <protection locked="0"/>
    </xf>
    <xf numFmtId="0" fontId="6" fillId="2" borderId="5" xfId="0" applyFont="1" applyFill="1" applyBorder="1" applyAlignment="1" applyProtection="1">
      <alignment horizontal="left" vertical="center" wrapText="1"/>
      <protection locked="0"/>
    </xf>
    <xf numFmtId="0" fontId="6" fillId="2" borderId="5" xfId="0" applyFont="1" applyFill="1" applyBorder="1" applyAlignment="1" applyProtection="1">
      <alignment horizontal="left" vertical="center"/>
      <protection locked="0"/>
    </xf>
    <xf numFmtId="0" fontId="9" fillId="2" borderId="5" xfId="0" applyFont="1" applyFill="1" applyBorder="1" applyAlignment="1" applyProtection="1">
      <alignment horizontal="left" vertical="center" wrapText="1"/>
      <protection locked="0"/>
    </xf>
    <xf numFmtId="14" fontId="6" fillId="2" borderId="5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left" vertical="center"/>
    </xf>
    <xf numFmtId="0" fontId="1" fillId="0" borderId="0" xfId="0" applyFont="1" applyAlignment="1">
      <alignment horizontal="left" vertical="center"/>
    </xf>
    <xf numFmtId="0" fontId="12" fillId="2" borderId="2" xfId="0" applyFont="1" applyFill="1" applyBorder="1" applyAlignment="1" applyProtection="1">
      <alignment horizontal="center" vertical="center"/>
      <protection locked="0"/>
    </xf>
    <xf numFmtId="14" fontId="12" fillId="2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Protection="1"/>
    <xf numFmtId="0" fontId="7" fillId="0" borderId="2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14" fontId="2" fillId="0" borderId="2" xfId="0" applyNumberFormat="1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9" fillId="0" borderId="0" xfId="0" applyFont="1" applyFill="1" applyBorder="1" applyAlignment="1" applyProtection="1">
      <alignment horizontal="center" vertical="center"/>
    </xf>
    <xf numFmtId="0" fontId="11" fillId="3" borderId="0" xfId="1" applyAlignment="1" applyProtection="1">
      <alignment horizontal="center" vertical="center" wrapText="1"/>
    </xf>
    <xf numFmtId="0" fontId="11" fillId="3" borderId="0" xfId="1" applyAlignment="1" applyProtection="1">
      <alignment horizontal="center" vertical="center"/>
    </xf>
    <xf numFmtId="0" fontId="0" fillId="0" borderId="20" xfId="0" applyBorder="1"/>
    <xf numFmtId="0" fontId="0" fillId="0" borderId="17" xfId="0" applyBorder="1"/>
    <xf numFmtId="0" fontId="1" fillId="0" borderId="14" xfId="0" applyFont="1" applyBorder="1"/>
    <xf numFmtId="0" fontId="0" fillId="0" borderId="1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14" fillId="0" borderId="0" xfId="0" applyFont="1" applyFill="1" applyAlignment="1" applyProtection="1">
      <alignment horizontal="left" vertical="center"/>
    </xf>
    <xf numFmtId="0" fontId="14" fillId="0" borderId="0" xfId="0" applyFont="1" applyFill="1" applyAlignment="1" applyProtection="1">
      <alignment horizontal="center" vertical="center"/>
    </xf>
    <xf numFmtId="49" fontId="14" fillId="0" borderId="0" xfId="0" applyNumberFormat="1" applyFont="1" applyFill="1" applyAlignment="1" applyProtection="1">
      <alignment horizontal="center" vertical="center"/>
    </xf>
    <xf numFmtId="0" fontId="14" fillId="0" borderId="0" xfId="0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vertical="center"/>
    </xf>
    <xf numFmtId="0" fontId="11" fillId="3" borderId="0" xfId="1" applyAlignment="1" applyProtection="1">
      <alignment horizontal="left" vertical="center"/>
    </xf>
    <xf numFmtId="49" fontId="11" fillId="3" borderId="0" xfId="1" applyNumberFormat="1" applyAlignment="1" applyProtection="1">
      <alignment horizontal="center" vertical="center"/>
    </xf>
    <xf numFmtId="0" fontId="11" fillId="3" borderId="0" xfId="1" applyAlignment="1" applyProtection="1">
      <alignment vertical="center" wrapText="1"/>
    </xf>
    <xf numFmtId="0" fontId="18" fillId="0" borderId="0" xfId="1" applyFont="1" applyFill="1" applyAlignment="1" applyProtection="1">
      <alignment vertical="center"/>
    </xf>
    <xf numFmtId="0" fontId="18" fillId="0" borderId="0" xfId="1" applyFont="1" applyFill="1" applyAlignment="1" applyProtection="1">
      <alignment horizontal="left" vertical="center"/>
    </xf>
    <xf numFmtId="0" fontId="18" fillId="0" borderId="0" xfId="1" applyFont="1" applyFill="1" applyAlignment="1" applyProtection="1">
      <alignment horizontal="center" vertical="center"/>
    </xf>
    <xf numFmtId="49" fontId="18" fillId="0" borderId="0" xfId="1" applyNumberFormat="1" applyFont="1" applyFill="1" applyAlignment="1" applyProtection="1">
      <alignment horizontal="center" vertical="center"/>
    </xf>
    <xf numFmtId="0" fontId="18" fillId="0" borderId="0" xfId="1" applyFont="1" applyFill="1" applyAlignment="1" applyProtection="1">
      <alignment vertical="center" wrapText="1"/>
    </xf>
    <xf numFmtId="0" fontId="18" fillId="0" borderId="0" xfId="0" applyFont="1" applyFill="1" applyAlignment="1" applyProtection="1">
      <alignment horizontal="center" vertical="center"/>
    </xf>
    <xf numFmtId="0" fontId="18" fillId="0" borderId="0" xfId="0" applyFont="1" applyFill="1" applyAlignment="1" applyProtection="1">
      <alignment vertical="center"/>
    </xf>
    <xf numFmtId="49" fontId="18" fillId="0" borderId="0" xfId="0" applyNumberFormat="1" applyFont="1" applyFill="1" applyAlignment="1" applyProtection="1">
      <alignment horizontal="center" vertical="center"/>
    </xf>
    <xf numFmtId="0" fontId="18" fillId="0" borderId="0" xfId="2" applyFont="1" applyFill="1" applyAlignment="1" applyProtection="1">
      <alignment vertical="center"/>
    </xf>
    <xf numFmtId="0" fontId="18" fillId="0" borderId="0" xfId="2" applyFont="1" applyFill="1" applyAlignment="1" applyProtection="1">
      <alignment horizontal="left" vertical="center"/>
    </xf>
    <xf numFmtId="0" fontId="18" fillId="0" borderId="0" xfId="2" applyFont="1" applyFill="1" applyAlignment="1" applyProtection="1">
      <alignment horizontal="center" vertical="center"/>
    </xf>
    <xf numFmtId="49" fontId="18" fillId="0" borderId="0" xfId="2" applyNumberFormat="1" applyFont="1" applyFill="1" applyAlignment="1" applyProtection="1">
      <alignment horizontal="center" vertical="center"/>
    </xf>
    <xf numFmtId="0" fontId="18" fillId="0" borderId="0" xfId="2" applyFont="1" applyFill="1" applyAlignment="1" applyProtection="1">
      <alignment vertical="center" wrapText="1"/>
    </xf>
    <xf numFmtId="0" fontId="18" fillId="0" borderId="0" xfId="0" applyFont="1" applyFill="1" applyAlignment="1" applyProtection="1">
      <alignment horizontal="left" vertical="center"/>
    </xf>
    <xf numFmtId="0" fontId="18" fillId="0" borderId="0" xfId="0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horizontal="center" vertical="center" wrapText="1"/>
    </xf>
    <xf numFmtId="49" fontId="11" fillId="3" borderId="0" xfId="1" applyNumberFormat="1" applyAlignment="1" applyProtection="1">
      <alignment horizontal="center" vertical="center" wrapText="1"/>
    </xf>
    <xf numFmtId="0" fontId="18" fillId="0" borderId="0" xfId="0" applyFont="1" applyFill="1" applyAlignment="1" applyProtection="1">
      <alignment horizontal="center" vertical="center" wrapText="1"/>
    </xf>
    <xf numFmtId="49" fontId="18" fillId="0" borderId="0" xfId="0" applyNumberFormat="1" applyFont="1" applyFill="1" applyAlignment="1" applyProtection="1">
      <alignment horizontal="center" vertical="center" wrapText="1"/>
    </xf>
    <xf numFmtId="2" fontId="11" fillId="3" borderId="0" xfId="1" applyNumberFormat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/>
    </xf>
    <xf numFmtId="2" fontId="18" fillId="0" borderId="0" xfId="0" applyNumberFormat="1" applyFont="1" applyFill="1" applyAlignment="1" applyProtection="1">
      <alignment horizontal="center" vertical="center"/>
    </xf>
    <xf numFmtId="1" fontId="18" fillId="2" borderId="0" xfId="0" applyNumberFormat="1" applyFont="1" applyFill="1" applyAlignment="1" applyProtection="1">
      <alignment horizontal="center" vertical="center" wrapText="1"/>
    </xf>
    <xf numFmtId="0" fontId="20" fillId="5" borderId="0" xfId="0" applyFont="1" applyFill="1" applyAlignment="1" applyProtection="1">
      <alignment horizontal="left" vertical="center"/>
    </xf>
    <xf numFmtId="0" fontId="0" fillId="0" borderId="0" xfId="0" applyAlignment="1" applyProtection="1">
      <alignment horizontal="center" vertical="center"/>
    </xf>
    <xf numFmtId="0" fontId="11" fillId="3" borderId="0" xfId="1" applyAlignment="1" applyProtection="1">
      <alignment horizontal="center" vertical="center" wrapText="1"/>
    </xf>
    <xf numFmtId="0" fontId="11" fillId="3" borderId="0" xfId="1" applyAlignment="1" applyProtection="1">
      <alignment horizontal="center" vertical="center"/>
    </xf>
    <xf numFmtId="0" fontId="14" fillId="0" borderId="0" xfId="0" applyFont="1" applyFill="1" applyAlignment="1" applyProtection="1">
      <alignment horizontal="left" vertical="center"/>
    </xf>
    <xf numFmtId="0" fontId="14" fillId="0" borderId="0" xfId="0" applyFont="1" applyFill="1" applyAlignment="1" applyProtection="1">
      <alignment horizontal="center" vertical="center"/>
    </xf>
    <xf numFmtId="49" fontId="14" fillId="0" borderId="0" xfId="0" applyNumberFormat="1" applyFont="1" applyFill="1" applyAlignment="1" applyProtection="1">
      <alignment horizontal="center" vertical="center"/>
    </xf>
    <xf numFmtId="0" fontId="14" fillId="0" borderId="0" xfId="0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vertical="center"/>
    </xf>
    <xf numFmtId="0" fontId="11" fillId="3" borderId="0" xfId="1" applyAlignment="1" applyProtection="1">
      <alignment horizontal="left" vertical="center"/>
    </xf>
    <xf numFmtId="49" fontId="11" fillId="3" borderId="0" xfId="1" applyNumberFormat="1" applyAlignment="1" applyProtection="1">
      <alignment horizontal="center" vertical="center"/>
    </xf>
    <xf numFmtId="0" fontId="11" fillId="3" borderId="0" xfId="1" applyAlignment="1" applyProtection="1">
      <alignment vertical="center" wrapText="1"/>
    </xf>
    <xf numFmtId="0" fontId="18" fillId="0" borderId="0" xfId="1" applyFont="1" applyFill="1" applyAlignment="1" applyProtection="1">
      <alignment vertical="center"/>
    </xf>
    <xf numFmtId="0" fontId="18" fillId="0" borderId="0" xfId="1" applyFont="1" applyFill="1" applyAlignment="1" applyProtection="1">
      <alignment horizontal="left" vertical="center"/>
    </xf>
    <xf numFmtId="0" fontId="18" fillId="0" borderId="0" xfId="1" applyFont="1" applyFill="1" applyAlignment="1" applyProtection="1">
      <alignment horizontal="center" vertical="center"/>
    </xf>
    <xf numFmtId="49" fontId="18" fillId="0" borderId="0" xfId="1" applyNumberFormat="1" applyFont="1" applyFill="1" applyAlignment="1" applyProtection="1">
      <alignment horizontal="center" vertical="center"/>
    </xf>
    <xf numFmtId="0" fontId="18" fillId="0" borderId="0" xfId="1" applyFont="1" applyFill="1" applyAlignment="1" applyProtection="1">
      <alignment vertical="center" wrapText="1"/>
    </xf>
    <xf numFmtId="0" fontId="18" fillId="0" borderId="0" xfId="0" applyFont="1" applyFill="1" applyAlignment="1" applyProtection="1">
      <alignment horizontal="center" vertical="center"/>
    </xf>
    <xf numFmtId="0" fontId="18" fillId="0" borderId="0" xfId="0" applyFont="1" applyFill="1" applyAlignment="1" applyProtection="1">
      <alignment vertical="center"/>
    </xf>
    <xf numFmtId="49" fontId="18" fillId="0" borderId="0" xfId="0" applyNumberFormat="1" applyFont="1" applyFill="1" applyAlignment="1" applyProtection="1">
      <alignment horizontal="center" vertical="center"/>
    </xf>
    <xf numFmtId="0" fontId="18" fillId="0" borderId="0" xfId="2" applyFont="1" applyFill="1" applyAlignment="1" applyProtection="1">
      <alignment vertical="center"/>
    </xf>
    <xf numFmtId="0" fontId="18" fillId="0" borderId="0" xfId="2" applyFont="1" applyFill="1" applyAlignment="1" applyProtection="1">
      <alignment horizontal="left" vertical="center"/>
    </xf>
    <xf numFmtId="0" fontId="18" fillId="0" borderId="0" xfId="2" applyFont="1" applyFill="1" applyAlignment="1" applyProtection="1">
      <alignment horizontal="center" vertical="center"/>
    </xf>
    <xf numFmtId="49" fontId="18" fillId="0" borderId="0" xfId="2" applyNumberFormat="1" applyFont="1" applyFill="1" applyAlignment="1" applyProtection="1">
      <alignment horizontal="center" vertical="center"/>
    </xf>
    <xf numFmtId="0" fontId="18" fillId="0" borderId="0" xfId="2" applyFont="1" applyFill="1" applyAlignment="1" applyProtection="1">
      <alignment vertical="center" wrapText="1"/>
    </xf>
    <xf numFmtId="0" fontId="18" fillId="0" borderId="0" xfId="0" applyFont="1" applyFill="1" applyAlignment="1" applyProtection="1">
      <alignment horizontal="left" vertical="center"/>
    </xf>
    <xf numFmtId="0" fontId="18" fillId="0" borderId="0" xfId="0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horizontal="center" vertical="center" wrapText="1"/>
    </xf>
    <xf numFmtId="49" fontId="11" fillId="3" borderId="0" xfId="1" applyNumberFormat="1" applyAlignment="1" applyProtection="1">
      <alignment horizontal="center" vertical="center" wrapText="1"/>
    </xf>
    <xf numFmtId="0" fontId="18" fillId="0" borderId="0" xfId="0" applyFont="1" applyFill="1" applyAlignment="1" applyProtection="1">
      <alignment horizontal="center" vertical="center" wrapText="1"/>
    </xf>
    <xf numFmtId="0" fontId="0" fillId="0" borderId="0" xfId="0" applyAlignment="1" applyProtection="1"/>
    <xf numFmtId="0" fontId="16" fillId="0" borderId="0" xfId="0" applyFont="1" applyFill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wrapText="1"/>
    </xf>
    <xf numFmtId="0" fontId="0" fillId="0" borderId="0" xfId="0" applyAlignment="1" applyProtection="1">
      <alignment wrapText="1"/>
    </xf>
    <xf numFmtId="0" fontId="8" fillId="0" borderId="0" xfId="0" applyFont="1" applyAlignment="1" applyProtection="1">
      <alignment horizontal="center" wrapText="1"/>
    </xf>
    <xf numFmtId="0" fontId="0" fillId="0" borderId="0" xfId="0" applyAlignment="1"/>
    <xf numFmtId="0" fontId="17" fillId="0" borderId="0" xfId="0" applyFont="1" applyFill="1" applyAlignment="1" applyProtection="1"/>
    <xf numFmtId="0" fontId="14" fillId="3" borderId="2" xfId="1" applyFont="1" applyBorder="1" applyAlignment="1" applyProtection="1">
      <alignment horizontal="center"/>
    </xf>
    <xf numFmtId="0" fontId="23" fillId="0" borderId="0" xfId="0" applyFont="1" applyAlignment="1" applyProtection="1">
      <alignment horizontal="left"/>
    </xf>
    <xf numFmtId="0" fontId="1" fillId="2" borderId="2" xfId="0" applyFont="1" applyFill="1" applyBorder="1" applyAlignment="1" applyProtection="1">
      <alignment horizontal="center" wrapText="1"/>
    </xf>
    <xf numFmtId="3" fontId="0" fillId="0" borderId="0" xfId="0" applyNumberFormat="1" applyAlignment="1" applyProtection="1"/>
    <xf numFmtId="0" fontId="5" fillId="0" borderId="0" xfId="0" applyFont="1" applyAlignment="1" applyProtection="1">
      <alignment horizontal="left"/>
    </xf>
    <xf numFmtId="0" fontId="1" fillId="0" borderId="2" xfId="0" applyFont="1" applyBorder="1" applyAlignment="1" applyProtection="1">
      <alignment horizontal="center"/>
    </xf>
    <xf numFmtId="0" fontId="0" fillId="0" borderId="0" xfId="0" applyFont="1" applyAlignment="1" applyProtection="1">
      <alignment horizontal="left"/>
    </xf>
    <xf numFmtId="0" fontId="11" fillId="3" borderId="15" xfId="1" applyBorder="1" applyAlignment="1" applyProtection="1">
      <alignment horizontal="center"/>
    </xf>
    <xf numFmtId="0" fontId="11" fillId="3" borderId="15" xfId="1" applyBorder="1" applyAlignment="1" applyProtection="1">
      <alignment horizontal="left"/>
    </xf>
    <xf numFmtId="0" fontId="11" fillId="3" borderId="16" xfId="1" applyBorder="1" applyAlignment="1" applyProtection="1">
      <alignment horizontal="center" wrapText="1"/>
    </xf>
    <xf numFmtId="0" fontId="11" fillId="3" borderId="18" xfId="1" applyBorder="1" applyAlignment="1" applyProtection="1">
      <alignment horizontal="center"/>
    </xf>
    <xf numFmtId="0" fontId="11" fillId="3" borderId="18" xfId="1" applyBorder="1" applyAlignment="1" applyProtection="1">
      <alignment horizontal="left"/>
    </xf>
    <xf numFmtId="0" fontId="11" fillId="3" borderId="19" xfId="1" applyBorder="1" applyAlignment="1" applyProtection="1">
      <alignment horizontal="center" wrapText="1"/>
    </xf>
    <xf numFmtId="0" fontId="11" fillId="3" borderId="0" xfId="1" applyAlignment="1" applyProtection="1">
      <alignment horizontal="center"/>
    </xf>
    <xf numFmtId="0" fontId="11" fillId="3" borderId="0" xfId="1" applyAlignment="1" applyProtection="1">
      <alignment horizontal="left"/>
    </xf>
    <xf numFmtId="0" fontId="11" fillId="3" borderId="0" xfId="1" applyAlignment="1" applyProtection="1">
      <alignment horizontal="center" wrapText="1"/>
    </xf>
    <xf numFmtId="49" fontId="11" fillId="3" borderId="15" xfId="1" applyNumberFormat="1" applyBorder="1" applyAlignment="1" applyProtection="1">
      <alignment horizontal="center"/>
    </xf>
    <xf numFmtId="49" fontId="11" fillId="3" borderId="18" xfId="1" applyNumberFormat="1" applyBorder="1" applyAlignment="1" applyProtection="1">
      <alignment horizontal="center"/>
    </xf>
    <xf numFmtId="0" fontId="11" fillId="3" borderId="0" xfId="1" applyBorder="1" applyAlignment="1" applyProtection="1">
      <alignment horizontal="left"/>
    </xf>
    <xf numFmtId="49" fontId="11" fillId="3" borderId="18" xfId="1" applyNumberFormat="1" applyBorder="1" applyAlignment="1" applyProtection="1">
      <alignment horizontal="center"/>
      <protection hidden="1"/>
    </xf>
    <xf numFmtId="0" fontId="11" fillId="3" borderId="18" xfId="1" applyBorder="1" applyAlignment="1" applyProtection="1">
      <alignment horizontal="left"/>
      <protection hidden="1"/>
    </xf>
    <xf numFmtId="49" fontId="11" fillId="3" borderId="0" xfId="1" applyNumberFormat="1" applyBorder="1" applyAlignment="1" applyProtection="1">
      <alignment horizontal="center"/>
    </xf>
    <xf numFmtId="0" fontId="0" fillId="0" borderId="0" xfId="0" applyBorder="1" applyAlignment="1" applyProtection="1">
      <alignment wrapText="1"/>
    </xf>
    <xf numFmtId="49" fontId="11" fillId="3" borderId="14" xfId="1" applyNumberFormat="1" applyBorder="1" applyAlignment="1" applyProtection="1">
      <alignment horizontal="center"/>
    </xf>
    <xf numFmtId="0" fontId="11" fillId="0" borderId="0" xfId="1" applyFill="1" applyAlignment="1" applyProtection="1">
      <alignment horizontal="center" vertical="center"/>
    </xf>
    <xf numFmtId="0" fontId="11" fillId="3" borderId="0" xfId="1" applyAlignment="1" applyProtection="1">
      <alignment horizontal="center" vertical="center" wrapText="1"/>
    </xf>
    <xf numFmtId="0" fontId="11" fillId="3" borderId="0" xfId="1" applyAlignment="1" applyProtection="1">
      <alignment horizontal="center" vertical="center"/>
    </xf>
    <xf numFmtId="0" fontId="11" fillId="3" borderId="0" xfId="1" applyAlignment="1" applyProtection="1">
      <alignment horizontal="left" vertical="center"/>
    </xf>
    <xf numFmtId="49" fontId="11" fillId="3" borderId="0" xfId="1" applyNumberFormat="1" applyAlignment="1" applyProtection="1">
      <alignment horizontal="center" vertical="center"/>
    </xf>
    <xf numFmtId="0" fontId="18" fillId="0" borderId="0" xfId="0" applyFont="1" applyFill="1" applyAlignment="1" applyProtection="1">
      <alignment vertical="center"/>
    </xf>
    <xf numFmtId="0" fontId="11" fillId="3" borderId="0" xfId="1" quotePrefix="1" applyAlignment="1" applyProtection="1">
      <alignment vertical="center" wrapText="1"/>
    </xf>
    <xf numFmtId="0" fontId="11" fillId="3" borderId="0" xfId="1" applyAlignment="1" applyProtection="1">
      <alignment horizontal="center" vertical="center" wrapText="1"/>
    </xf>
    <xf numFmtId="0" fontId="11" fillId="3" borderId="0" xfId="1" applyAlignment="1" applyProtection="1">
      <alignment horizontal="center" vertical="center"/>
    </xf>
    <xf numFmtId="0" fontId="11" fillId="3" borderId="0" xfId="1" applyAlignment="1" applyProtection="1">
      <alignment horizontal="left" vertical="center"/>
    </xf>
    <xf numFmtId="49" fontId="11" fillId="3" borderId="0" xfId="1" applyNumberFormat="1" applyAlignment="1" applyProtection="1">
      <alignment horizontal="center" vertical="center"/>
    </xf>
    <xf numFmtId="0" fontId="11" fillId="3" borderId="0" xfId="1" applyAlignment="1" applyProtection="1">
      <alignment vertical="center" wrapText="1"/>
    </xf>
    <xf numFmtId="0" fontId="18" fillId="0" borderId="0" xfId="1" applyFont="1" applyFill="1" applyAlignment="1" applyProtection="1">
      <alignment horizontal="left" vertical="center"/>
    </xf>
    <xf numFmtId="1" fontId="11" fillId="3" borderId="0" xfId="1" applyNumberFormat="1" applyAlignment="1" applyProtection="1">
      <alignment horizontal="center" vertical="center" wrapText="1"/>
    </xf>
    <xf numFmtId="0" fontId="11" fillId="0" borderId="0" xfId="1" applyFill="1" applyAlignment="1" applyProtection="1">
      <alignment vertical="center" wrapText="1"/>
    </xf>
    <xf numFmtId="0" fontId="2" fillId="0" borderId="0" xfId="0" applyFont="1" applyBorder="1" applyAlignment="1" applyProtection="1">
      <alignment wrapText="1"/>
    </xf>
    <xf numFmtId="0" fontId="20" fillId="5" borderId="0" xfId="1" applyFont="1" applyFill="1" applyAlignment="1" applyProtection="1">
      <alignment horizontal="left" vertical="center"/>
    </xf>
    <xf numFmtId="0" fontId="18" fillId="0" borderId="0" xfId="0" applyFont="1" applyFill="1" applyAlignment="1" applyProtection="1">
      <alignment horizontal="center" vertical="center" wrapText="1"/>
    </xf>
    <xf numFmtId="2" fontId="11" fillId="3" borderId="0" xfId="1" applyNumberFormat="1" applyAlignment="1" applyProtection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Protection="1"/>
    <xf numFmtId="0" fontId="2" fillId="0" borderId="2" xfId="0" applyFont="1" applyFill="1" applyBorder="1" applyAlignment="1" applyProtection="1">
      <alignment horizontal="center" vertical="center"/>
    </xf>
    <xf numFmtId="0" fontId="11" fillId="3" borderId="0" xfId="1" applyAlignment="1" applyProtection="1">
      <alignment horizontal="center" vertical="center" wrapText="1"/>
    </xf>
    <xf numFmtId="0" fontId="11" fillId="3" borderId="0" xfId="1" applyAlignment="1" applyProtection="1">
      <alignment horizontal="center" vertical="center"/>
    </xf>
    <xf numFmtId="0" fontId="14" fillId="0" borderId="0" xfId="0" applyFont="1" applyFill="1" applyAlignment="1" applyProtection="1">
      <alignment horizontal="left" vertical="center"/>
    </xf>
    <xf numFmtId="0" fontId="14" fillId="0" borderId="0" xfId="0" applyFont="1" applyFill="1" applyAlignment="1" applyProtection="1">
      <alignment horizontal="center" vertical="center"/>
    </xf>
    <xf numFmtId="49" fontId="14" fillId="0" borderId="0" xfId="0" applyNumberFormat="1" applyFont="1" applyFill="1" applyAlignment="1" applyProtection="1">
      <alignment horizontal="center" vertical="center"/>
    </xf>
    <xf numFmtId="0" fontId="14" fillId="0" borderId="0" xfId="0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vertical="center"/>
    </xf>
    <xf numFmtId="0" fontId="11" fillId="3" borderId="0" xfId="1" applyAlignment="1" applyProtection="1">
      <alignment horizontal="left" vertical="center"/>
    </xf>
    <xf numFmtId="49" fontId="11" fillId="3" borderId="0" xfId="1" applyNumberFormat="1" applyAlignment="1" applyProtection="1">
      <alignment horizontal="center" vertical="center"/>
    </xf>
    <xf numFmtId="0" fontId="11" fillId="3" borderId="0" xfId="1" applyAlignment="1" applyProtection="1">
      <alignment vertical="center" wrapText="1"/>
    </xf>
    <xf numFmtId="0" fontId="18" fillId="0" borderId="0" xfId="1" applyFont="1" applyFill="1" applyAlignment="1" applyProtection="1">
      <alignment vertical="center"/>
    </xf>
    <xf numFmtId="0" fontId="18" fillId="0" borderId="0" xfId="1" applyFont="1" applyFill="1" applyAlignment="1" applyProtection="1">
      <alignment horizontal="left" vertical="center"/>
    </xf>
    <xf numFmtId="0" fontId="18" fillId="0" borderId="0" xfId="1" applyFont="1" applyFill="1" applyAlignment="1" applyProtection="1">
      <alignment horizontal="center" vertical="center"/>
    </xf>
    <xf numFmtId="49" fontId="18" fillId="0" borderId="0" xfId="1" applyNumberFormat="1" applyFont="1" applyFill="1" applyAlignment="1" applyProtection="1">
      <alignment horizontal="center" vertical="center"/>
    </xf>
    <xf numFmtId="0" fontId="18" fillId="0" borderId="0" xfId="1" applyFont="1" applyFill="1" applyAlignment="1" applyProtection="1">
      <alignment vertical="center" wrapText="1"/>
    </xf>
    <xf numFmtId="0" fontId="18" fillId="0" borderId="0" xfId="0" applyFont="1" applyFill="1" applyAlignment="1" applyProtection="1">
      <alignment horizontal="center" vertical="center"/>
    </xf>
    <xf numFmtId="0" fontId="18" fillId="0" borderId="0" xfId="0" applyFont="1" applyFill="1" applyAlignment="1" applyProtection="1">
      <alignment vertical="center"/>
    </xf>
    <xf numFmtId="0" fontId="20" fillId="5" borderId="0" xfId="1" applyFont="1" applyFill="1" applyAlignment="1" applyProtection="1">
      <alignment horizontal="left" vertical="center"/>
    </xf>
    <xf numFmtId="49" fontId="18" fillId="0" borderId="0" xfId="0" applyNumberFormat="1" applyFont="1" applyFill="1" applyAlignment="1" applyProtection="1">
      <alignment horizontal="center" vertical="center"/>
    </xf>
    <xf numFmtId="0" fontId="18" fillId="0" borderId="0" xfId="2" applyFont="1" applyFill="1" applyAlignment="1" applyProtection="1">
      <alignment vertical="center"/>
    </xf>
    <xf numFmtId="0" fontId="18" fillId="0" borderId="0" xfId="2" applyFont="1" applyFill="1" applyAlignment="1" applyProtection="1">
      <alignment horizontal="left" vertical="center"/>
    </xf>
    <xf numFmtId="0" fontId="18" fillId="0" borderId="0" xfId="2" applyFont="1" applyFill="1" applyAlignment="1" applyProtection="1">
      <alignment horizontal="center" vertical="center"/>
    </xf>
    <xf numFmtId="49" fontId="18" fillId="0" borderId="0" xfId="2" applyNumberFormat="1" applyFont="1" applyFill="1" applyAlignment="1" applyProtection="1">
      <alignment horizontal="center" vertical="center"/>
    </xf>
    <xf numFmtId="0" fontId="18" fillId="0" borderId="0" xfId="2" applyFont="1" applyFill="1" applyAlignment="1" applyProtection="1">
      <alignment vertical="center" wrapText="1"/>
    </xf>
    <xf numFmtId="0" fontId="18" fillId="0" borderId="0" xfId="0" applyFont="1" applyFill="1" applyAlignment="1" applyProtection="1">
      <alignment horizontal="left" vertical="center"/>
    </xf>
    <xf numFmtId="0" fontId="18" fillId="0" borderId="0" xfId="0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horizontal="center" vertical="center" wrapText="1"/>
    </xf>
    <xf numFmtId="49" fontId="11" fillId="3" borderId="0" xfId="1" applyNumberFormat="1" applyAlignment="1" applyProtection="1">
      <alignment horizontal="center" vertical="center" wrapText="1"/>
    </xf>
    <xf numFmtId="0" fontId="18" fillId="0" borderId="0" xfId="0" applyFont="1" applyFill="1" applyAlignment="1" applyProtection="1">
      <alignment horizontal="center" vertical="center" wrapText="1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4" fontId="0" fillId="0" borderId="0" xfId="0" applyNumberFormat="1" applyProtection="1"/>
    <xf numFmtId="0" fontId="0" fillId="0" borderId="0" xfId="0" applyAlignment="1" applyProtection="1">
      <alignment horizontal="center"/>
    </xf>
    <xf numFmtId="0" fontId="1" fillId="0" borderId="14" xfId="0" applyFont="1" applyBorder="1" applyAlignment="1" applyProtection="1">
      <alignment horizontal="center" vertical="center"/>
    </xf>
    <xf numFmtId="4" fontId="24" fillId="7" borderId="14" xfId="0" applyNumberFormat="1" applyFont="1" applyFill="1" applyBorder="1" applyAlignment="1" applyProtection="1">
      <alignment horizontal="center" vertical="center"/>
    </xf>
    <xf numFmtId="4" fontId="24" fillId="7" borderId="15" xfId="0" applyNumberFormat="1" applyFont="1" applyFill="1" applyBorder="1" applyAlignment="1" applyProtection="1">
      <alignment horizontal="center" vertical="center"/>
    </xf>
    <xf numFmtId="0" fontId="24" fillId="7" borderId="15" xfId="0" applyFont="1" applyFill="1" applyBorder="1" applyAlignment="1" applyProtection="1">
      <alignment horizontal="center" vertical="center"/>
    </xf>
    <xf numFmtId="0" fontId="24" fillId="7" borderId="16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1" fillId="0" borderId="20" xfId="0" applyFont="1" applyBorder="1" applyAlignment="1" applyProtection="1">
      <alignment horizontal="center" vertical="center"/>
    </xf>
    <xf numFmtId="4" fontId="0" fillId="0" borderId="0" xfId="0" applyNumberFormat="1" applyProtection="1">
      <protection locked="0"/>
    </xf>
    <xf numFmtId="0" fontId="0" fillId="0" borderId="0" xfId="0" applyProtection="1">
      <protection locked="0"/>
    </xf>
    <xf numFmtId="4" fontId="0" fillId="0" borderId="0" xfId="0" applyNumberFormat="1" applyAlignment="1" applyProtection="1">
      <alignment vertical="center"/>
    </xf>
    <xf numFmtId="4" fontId="0" fillId="0" borderId="0" xfId="0" applyNumberFormat="1" applyAlignment="1" applyProtection="1">
      <alignment vertical="center"/>
      <protection locked="0"/>
    </xf>
    <xf numFmtId="4" fontId="0" fillId="0" borderId="0" xfId="0" applyNumberFormat="1" applyAlignment="1" applyProtection="1">
      <alignment horizontal="center" vertical="center"/>
    </xf>
    <xf numFmtId="4" fontId="0" fillId="0" borderId="0" xfId="0" applyNumberFormat="1" applyAlignment="1" applyProtection="1">
      <alignment horizontal="center" vertical="center"/>
      <protection locked="0"/>
    </xf>
    <xf numFmtId="4" fontId="0" fillId="0" borderId="0" xfId="0" applyNumberFormat="1" applyAlignment="1">
      <alignment horizontal="right" vertical="center"/>
    </xf>
    <xf numFmtId="4" fontId="1" fillId="0" borderId="0" xfId="0" applyNumberFormat="1" applyFont="1" applyAlignment="1" applyProtection="1">
      <alignment horizontal="center" vertical="center"/>
    </xf>
    <xf numFmtId="9" fontId="1" fillId="0" borderId="0" xfId="0" applyNumberFormat="1" applyFont="1" applyAlignment="1" applyProtection="1">
      <alignment horizontal="center" vertical="center"/>
    </xf>
    <xf numFmtId="165" fontId="0" fillId="0" borderId="0" xfId="0" applyNumberFormat="1" applyAlignment="1" applyProtection="1">
      <alignment horizontal="center" vertical="center"/>
    </xf>
    <xf numFmtId="165" fontId="0" fillId="0" borderId="0" xfId="0" applyNumberFormat="1" applyAlignment="1" applyProtection="1">
      <alignment horizontal="center"/>
    </xf>
    <xf numFmtId="4" fontId="0" fillId="0" borderId="0" xfId="0" applyNumberFormat="1" applyAlignment="1" applyProtection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25" fillId="6" borderId="20" xfId="0" applyFont="1" applyFill="1" applyBorder="1" applyAlignment="1" applyProtection="1">
      <alignment horizontal="center" vertical="center"/>
    </xf>
    <xf numFmtId="4" fontId="2" fillId="6" borderId="20" xfId="0" applyNumberFormat="1" applyFont="1" applyFill="1" applyBorder="1" applyAlignment="1" applyProtection="1">
      <alignment horizontal="center" vertical="center"/>
    </xf>
    <xf numFmtId="4" fontId="2" fillId="6" borderId="0" xfId="0" applyNumberFormat="1" applyFont="1" applyFill="1" applyBorder="1" applyAlignment="1" applyProtection="1">
      <alignment horizontal="center" vertical="center"/>
    </xf>
    <xf numFmtId="166" fontId="2" fillId="6" borderId="0" xfId="0" applyNumberFormat="1" applyFont="1" applyFill="1" applyBorder="1" applyAlignment="1" applyProtection="1">
      <alignment horizontal="center" vertical="center"/>
    </xf>
    <xf numFmtId="165" fontId="2" fillId="6" borderId="0" xfId="0" applyNumberFormat="1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1" fontId="2" fillId="6" borderId="0" xfId="0" applyNumberFormat="1" applyFont="1" applyFill="1" applyBorder="1" applyAlignment="1" applyProtection="1">
      <alignment horizontal="center" vertical="center"/>
    </xf>
    <xf numFmtId="0" fontId="2" fillId="6" borderId="21" xfId="0" applyFont="1" applyFill="1" applyBorder="1" applyAlignment="1" applyProtection="1">
      <alignment horizontal="center" vertical="center"/>
    </xf>
    <xf numFmtId="0" fontId="1" fillId="0" borderId="22" xfId="0" applyFont="1" applyBorder="1" applyAlignment="1" applyProtection="1">
      <alignment horizontal="center" vertical="center"/>
    </xf>
    <xf numFmtId="4" fontId="21" fillId="0" borderId="0" xfId="0" applyNumberFormat="1" applyFont="1" applyAlignment="1" applyProtection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8" borderId="24" xfId="0" applyNumberFormat="1" applyFill="1" applyBorder="1" applyAlignment="1" applyProtection="1">
      <alignment horizontal="center" vertical="center"/>
    </xf>
    <xf numFmtId="165" fontId="0" fillId="8" borderId="27" xfId="0" applyNumberFormat="1" applyFill="1" applyBorder="1" applyAlignment="1" applyProtection="1">
      <alignment horizontal="center" vertical="center"/>
    </xf>
    <xf numFmtId="4" fontId="18" fillId="2" borderId="26" xfId="0" applyNumberFormat="1" applyFont="1" applyFill="1" applyBorder="1" applyAlignment="1" applyProtection="1">
      <alignment vertical="center"/>
      <protection locked="0"/>
    </xf>
    <xf numFmtId="4" fontId="18" fillId="2" borderId="27" xfId="0" applyNumberFormat="1" applyFont="1" applyFill="1" applyBorder="1" applyAlignment="1" applyProtection="1">
      <alignment horizontal="center" vertical="center"/>
      <protection locked="0"/>
    </xf>
    <xf numFmtId="4" fontId="18" fillId="2" borderId="29" xfId="0" applyNumberFormat="1" applyFont="1" applyFill="1" applyBorder="1" applyAlignment="1" applyProtection="1">
      <alignment vertical="center"/>
      <protection locked="0"/>
    </xf>
    <xf numFmtId="4" fontId="18" fillId="2" borderId="30" xfId="0" applyNumberFormat="1" applyFont="1" applyFill="1" applyBorder="1" applyAlignment="1" applyProtection="1">
      <alignment horizontal="center" vertical="center"/>
      <protection locked="0"/>
    </xf>
    <xf numFmtId="165" fontId="0" fillId="8" borderId="30" xfId="0" applyNumberFormat="1" applyFill="1" applyBorder="1" applyAlignment="1" applyProtection="1">
      <alignment horizontal="center" vertical="center"/>
    </xf>
    <xf numFmtId="4" fontId="18" fillId="2" borderId="23" xfId="0" applyNumberFormat="1" applyFont="1" applyFill="1" applyBorder="1" applyAlignment="1" applyProtection="1">
      <alignment vertical="center"/>
      <protection locked="0"/>
    </xf>
    <xf numFmtId="4" fontId="18" fillId="2" borderId="24" xfId="0" applyNumberFormat="1" applyFont="1" applyFill="1" applyBorder="1" applyAlignment="1" applyProtection="1">
      <alignment horizontal="center" vertical="center"/>
      <protection locked="0"/>
    </xf>
    <xf numFmtId="0" fontId="11" fillId="3" borderId="0" xfId="1" quotePrefix="1" applyAlignment="1" applyProtection="1">
      <alignment vertical="center" wrapText="1"/>
    </xf>
    <xf numFmtId="1" fontId="11" fillId="3" borderId="0" xfId="1" applyNumberFormat="1" applyAlignment="1" applyProtection="1">
      <alignment horizontal="center" vertical="center" wrapText="1"/>
    </xf>
    <xf numFmtId="1" fontId="18" fillId="0" borderId="0" xfId="1" applyNumberFormat="1" applyFont="1" applyFill="1" applyAlignment="1" applyProtection="1">
      <alignment horizontal="center" vertical="center" wrapText="1"/>
    </xf>
    <xf numFmtId="2" fontId="11" fillId="3" borderId="0" xfId="1" applyNumberFormat="1" applyAlignment="1" applyProtection="1">
      <alignment horizontal="center" vertical="center" wrapText="1"/>
    </xf>
    <xf numFmtId="0" fontId="18" fillId="0" borderId="15" xfId="1" applyFont="1" applyFill="1" applyBorder="1" applyAlignment="1" applyProtection="1">
      <alignment horizontal="left"/>
    </xf>
    <xf numFmtId="0" fontId="18" fillId="0" borderId="16" xfId="1" applyFont="1" applyFill="1" applyBorder="1" applyAlignment="1" applyProtection="1">
      <alignment horizontal="center" wrapText="1"/>
    </xf>
    <xf numFmtId="0" fontId="18" fillId="0" borderId="19" xfId="1" applyFont="1" applyFill="1" applyBorder="1" applyAlignment="1" applyProtection="1">
      <alignment horizontal="center" wrapText="1"/>
    </xf>
    <xf numFmtId="49" fontId="18" fillId="0" borderId="14" xfId="1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7" fillId="9" borderId="0" xfId="0" applyFont="1" applyFill="1" applyAlignment="1" applyProtection="1">
      <alignment horizontal="center"/>
    </xf>
    <xf numFmtId="0" fontId="10" fillId="5" borderId="0" xfId="0" applyFont="1" applyFill="1" applyBorder="1" applyAlignment="1" applyProtection="1">
      <alignment horizontal="center" vertical="center" wrapText="1"/>
    </xf>
    <xf numFmtId="0" fontId="1" fillId="2" borderId="33" xfId="0" applyFont="1" applyFill="1" applyBorder="1" applyAlignment="1" applyProtection="1">
      <alignment horizontal="center"/>
      <protection locked="0"/>
    </xf>
    <xf numFmtId="0" fontId="1" fillId="2" borderId="34" xfId="0" applyFont="1" applyFill="1" applyBorder="1" applyAlignment="1" applyProtection="1">
      <alignment horizontal="center"/>
      <protection locked="0"/>
    </xf>
    <xf numFmtId="17" fontId="1" fillId="2" borderId="34" xfId="0" applyNumberFormat="1" applyFont="1" applyFill="1" applyBorder="1" applyAlignment="1" applyProtection="1">
      <alignment horizontal="center" wrapText="1"/>
      <protection locked="0"/>
    </xf>
    <xf numFmtId="0" fontId="1" fillId="2" borderId="34" xfId="0" applyFont="1" applyFill="1" applyBorder="1" applyAlignment="1" applyProtection="1">
      <alignment horizontal="center" wrapText="1"/>
      <protection locked="0"/>
    </xf>
    <xf numFmtId="0" fontId="11" fillId="3" borderId="34" xfId="1" applyFont="1" applyBorder="1" applyAlignment="1" applyProtection="1">
      <alignment horizontal="center"/>
      <protection locked="0"/>
    </xf>
    <xf numFmtId="167" fontId="1" fillId="2" borderId="34" xfId="0" applyNumberFormat="1" applyFont="1" applyFill="1" applyBorder="1" applyAlignment="1" applyProtection="1">
      <alignment horizontal="center" wrapText="1"/>
      <protection locked="0"/>
    </xf>
    <xf numFmtId="0" fontId="1" fillId="2" borderId="35" xfId="0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0" fontId="21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center" vertical="center"/>
    </xf>
    <xf numFmtId="0" fontId="28" fillId="0" borderId="0" xfId="3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vertical="center"/>
    </xf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/>
    <xf numFmtId="0" fontId="18" fillId="8" borderId="24" xfId="0" applyNumberFormat="1" applyFont="1" applyFill="1" applyBorder="1" applyAlignment="1" applyProtection="1">
      <alignment horizontal="center" vertical="center"/>
    </xf>
    <xf numFmtId="0" fontId="18" fillId="8" borderId="27" xfId="0" applyNumberFormat="1" applyFont="1" applyFill="1" applyBorder="1" applyAlignment="1" applyProtection="1">
      <alignment horizontal="center" vertical="center"/>
    </xf>
    <xf numFmtId="0" fontId="18" fillId="8" borderId="30" xfId="0" applyNumberFormat="1" applyFont="1" applyFill="1" applyBorder="1" applyAlignment="1" applyProtection="1">
      <alignment horizontal="center" vertical="center"/>
    </xf>
    <xf numFmtId="0" fontId="30" fillId="2" borderId="31" xfId="0" applyFont="1" applyFill="1" applyBorder="1" applyAlignment="1" applyProtection="1">
      <alignment vertical="center"/>
      <protection locked="0"/>
    </xf>
    <xf numFmtId="0" fontId="30" fillId="2" borderId="30" xfId="0" applyFont="1" applyFill="1" applyBorder="1" applyAlignment="1" applyProtection="1">
      <alignment horizontal="center" vertical="center"/>
      <protection locked="0"/>
    </xf>
    <xf numFmtId="0" fontId="30" fillId="2" borderId="30" xfId="0" applyFont="1" applyFill="1" applyBorder="1" applyAlignment="1" applyProtection="1">
      <alignment vertical="center"/>
      <protection locked="0"/>
    </xf>
    <xf numFmtId="0" fontId="30" fillId="2" borderId="27" xfId="0" applyFont="1" applyFill="1" applyBorder="1" applyAlignment="1" applyProtection="1">
      <alignment horizontal="center" vertical="center"/>
      <protection locked="0"/>
    </xf>
    <xf numFmtId="0" fontId="30" fillId="2" borderId="28" xfId="0" applyFont="1" applyFill="1" applyBorder="1" applyAlignment="1" applyProtection="1">
      <alignment vertical="center"/>
      <protection locked="0"/>
    </xf>
    <xf numFmtId="1" fontId="30" fillId="2" borderId="27" xfId="0" applyNumberFormat="1" applyFont="1" applyFill="1" applyBorder="1" applyAlignment="1" applyProtection="1">
      <alignment horizontal="center" vertical="center"/>
      <protection locked="0"/>
    </xf>
    <xf numFmtId="0" fontId="30" fillId="2" borderId="27" xfId="0" applyFont="1" applyFill="1" applyBorder="1" applyAlignment="1" applyProtection="1">
      <alignment vertical="center"/>
      <protection locked="0"/>
    </xf>
    <xf numFmtId="0" fontId="30" fillId="2" borderId="25" xfId="0" applyFont="1" applyFill="1" applyBorder="1" applyAlignment="1" applyProtection="1">
      <alignment vertical="center"/>
      <protection locked="0"/>
    </xf>
    <xf numFmtId="1" fontId="30" fillId="2" borderId="24" xfId="0" applyNumberFormat="1" applyFont="1" applyFill="1" applyBorder="1" applyAlignment="1" applyProtection="1">
      <alignment horizontal="center" vertical="center"/>
      <protection locked="0"/>
    </xf>
    <xf numFmtId="0" fontId="30" fillId="2" borderId="24" xfId="0" applyFont="1" applyFill="1" applyBorder="1" applyAlignment="1" applyProtection="1">
      <alignment vertical="center"/>
      <protection locked="0"/>
    </xf>
    <xf numFmtId="0" fontId="12" fillId="2" borderId="2" xfId="0" applyFont="1" applyFill="1" applyBorder="1" applyAlignment="1" applyProtection="1">
      <alignment horizontal="center" vertical="center"/>
      <protection locked="0"/>
    </xf>
    <xf numFmtId="0" fontId="11" fillId="3" borderId="0" xfId="1" applyAlignment="1" applyProtection="1">
      <alignment horizontal="center" vertical="center" wrapText="1"/>
    </xf>
    <xf numFmtId="0" fontId="11" fillId="3" borderId="0" xfId="1" applyAlignment="1" applyProtection="1">
      <alignment horizontal="center" vertical="center"/>
    </xf>
    <xf numFmtId="0" fontId="11" fillId="3" borderId="0" xfId="1" applyAlignment="1" applyProtection="1">
      <alignment horizontal="left" vertical="center"/>
    </xf>
    <xf numFmtId="49" fontId="11" fillId="3" borderId="0" xfId="1" applyNumberFormat="1" applyAlignment="1" applyProtection="1">
      <alignment horizontal="center" vertical="center"/>
    </xf>
    <xf numFmtId="0" fontId="11" fillId="3" borderId="0" xfId="1" applyAlignment="1" applyProtection="1">
      <alignment vertical="center" wrapText="1"/>
    </xf>
    <xf numFmtId="0" fontId="18" fillId="0" borderId="0" xfId="0" applyFont="1" applyFill="1" applyAlignment="1" applyProtection="1">
      <alignment horizontal="center" vertical="center" wrapText="1"/>
    </xf>
    <xf numFmtId="1" fontId="21" fillId="0" borderId="0" xfId="0" applyNumberFormat="1" applyFont="1" applyAlignment="1" applyProtection="1">
      <alignment horizontal="center" vertical="center"/>
      <protection locked="0"/>
    </xf>
    <xf numFmtId="1" fontId="27" fillId="9" borderId="0" xfId="0" applyNumberFormat="1" applyFont="1" applyFill="1" applyAlignment="1" applyProtection="1">
      <alignment horizontal="center"/>
    </xf>
    <xf numFmtId="0" fontId="16" fillId="0" borderId="0" xfId="0" applyFont="1" applyFill="1" applyAlignment="1" applyProtection="1">
      <alignment horizontal="center" vertical="center"/>
    </xf>
    <xf numFmtId="0" fontId="1" fillId="2" borderId="35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 wrapText="1"/>
    </xf>
    <xf numFmtId="49" fontId="11" fillId="3" borderId="18" xfId="1" applyNumberFormat="1" applyBorder="1" applyAlignment="1" applyProtection="1">
      <alignment horizontal="center" vertical="center"/>
    </xf>
    <xf numFmtId="0" fontId="11" fillId="3" borderId="18" xfId="1" applyBorder="1" applyAlignment="1" applyProtection="1">
      <alignment horizontal="left" vertical="center"/>
    </xf>
    <xf numFmtId="0" fontId="11" fillId="3" borderId="19" xfId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2" fillId="0" borderId="0" xfId="0" applyFont="1" applyBorder="1" applyAlignment="1" applyProtection="1">
      <alignment wrapText="1"/>
      <protection locked="0"/>
    </xf>
    <xf numFmtId="4" fontId="18" fillId="2" borderId="26" xfId="0" applyNumberFormat="1" applyFont="1" applyFill="1" applyBorder="1" applyAlignment="1" applyProtection="1">
      <alignment vertical="center"/>
      <protection locked="0"/>
    </xf>
    <xf numFmtId="4" fontId="18" fillId="2" borderId="2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15" fillId="0" borderId="0" xfId="0" applyFont="1" applyFill="1" applyAlignment="1" applyProtection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49" fontId="4" fillId="0" borderId="13" xfId="0" applyNumberFormat="1" applyFont="1" applyBorder="1" applyAlignment="1" applyProtection="1">
      <alignment horizontal="center" vertical="center" wrapText="1"/>
    </xf>
    <xf numFmtId="0" fontId="3" fillId="0" borderId="13" xfId="0" applyFont="1" applyBorder="1" applyAlignment="1" applyProtection="1">
      <alignment horizontal="center" vertical="center" wrapText="1"/>
    </xf>
    <xf numFmtId="49" fontId="22" fillId="0" borderId="13" xfId="0" applyNumberFormat="1" applyFont="1" applyBorder="1" applyAlignment="1" applyProtection="1">
      <alignment horizontal="center" vertical="center" wrapText="1"/>
    </xf>
    <xf numFmtId="0" fontId="0" fillId="2" borderId="27" xfId="0" applyFill="1" applyBorder="1" applyAlignment="1" applyProtection="1">
      <alignment vertical="center"/>
      <protection locked="0"/>
    </xf>
    <xf numFmtId="1" fontId="0" fillId="2" borderId="27" xfId="0" applyNumberFormat="1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vertical="center"/>
      <protection locked="0"/>
    </xf>
    <xf numFmtId="49" fontId="7" fillId="6" borderId="36" xfId="0" applyNumberFormat="1" applyFont="1" applyFill="1" applyBorder="1" applyAlignment="1" applyProtection="1">
      <alignment horizontal="center" wrapText="1"/>
    </xf>
    <xf numFmtId="49" fontId="2" fillId="0" borderId="36" xfId="0" applyNumberFormat="1" applyFont="1" applyBorder="1" applyAlignment="1" applyProtection="1">
      <alignment horizontal="center" wrapText="1"/>
    </xf>
    <xf numFmtId="0" fontId="2" fillId="0" borderId="36" xfId="0" applyFont="1" applyBorder="1" applyAlignment="1" applyProtection="1">
      <alignment wrapText="1"/>
    </xf>
    <xf numFmtId="49" fontId="7" fillId="6" borderId="37" xfId="0" applyNumberFormat="1" applyFont="1" applyFill="1" applyBorder="1" applyAlignment="1" applyProtection="1">
      <alignment horizontal="center" wrapText="1"/>
    </xf>
    <xf numFmtId="49" fontId="2" fillId="0" borderId="37" xfId="0" applyNumberFormat="1" applyFont="1" applyBorder="1" applyAlignment="1" applyProtection="1">
      <alignment horizontal="center" wrapText="1"/>
    </xf>
    <xf numFmtId="0" fontId="2" fillId="0" borderId="37" xfId="0" applyFont="1" applyBorder="1" applyAlignment="1" applyProtection="1">
      <alignment wrapText="1"/>
    </xf>
    <xf numFmtId="49" fontId="7" fillId="6" borderId="38" xfId="0" applyNumberFormat="1" applyFont="1" applyFill="1" applyBorder="1" applyAlignment="1" applyProtection="1">
      <alignment horizontal="center" vertical="center" wrapText="1"/>
    </xf>
    <xf numFmtId="49" fontId="2" fillId="0" borderId="38" xfId="0" applyNumberFormat="1" applyFont="1" applyBorder="1" applyAlignment="1" applyProtection="1">
      <alignment horizontal="center" vertical="center" wrapText="1"/>
    </xf>
    <xf numFmtId="0" fontId="2" fillId="0" borderId="38" xfId="0" applyFont="1" applyBorder="1" applyAlignment="1" applyProtection="1">
      <alignment vertical="center" wrapText="1"/>
    </xf>
    <xf numFmtId="49" fontId="7" fillId="6" borderId="39" xfId="0" applyNumberFormat="1" applyFont="1" applyFill="1" applyBorder="1" applyAlignment="1" applyProtection="1">
      <alignment horizontal="center" wrapText="1"/>
    </xf>
    <xf numFmtId="49" fontId="2" fillId="0" borderId="39" xfId="0" applyNumberFormat="1" applyFont="1" applyBorder="1" applyAlignment="1" applyProtection="1">
      <alignment horizontal="center" wrapText="1"/>
    </xf>
    <xf numFmtId="49" fontId="7" fillId="6" borderId="40" xfId="0" applyNumberFormat="1" applyFont="1" applyFill="1" applyBorder="1" applyAlignment="1" applyProtection="1">
      <alignment horizontal="center" wrapText="1"/>
    </xf>
    <xf numFmtId="49" fontId="2" fillId="0" borderId="40" xfId="0" applyNumberFormat="1" applyFont="1" applyBorder="1" applyAlignment="1" applyProtection="1">
      <alignment horizontal="center" wrapText="1"/>
    </xf>
    <xf numFmtId="0" fontId="2" fillId="0" borderId="38" xfId="0" applyFont="1" applyBorder="1" applyAlignment="1" applyProtection="1">
      <alignment wrapText="1"/>
    </xf>
    <xf numFmtId="49" fontId="7" fillId="6" borderId="38" xfId="0" applyNumberFormat="1" applyFont="1" applyFill="1" applyBorder="1" applyAlignment="1" applyProtection="1">
      <alignment horizontal="center" wrapText="1"/>
    </xf>
    <xf numFmtId="49" fontId="2" fillId="0" borderId="38" xfId="0" applyNumberFormat="1" applyFont="1" applyBorder="1" applyAlignment="1" applyProtection="1">
      <alignment horizontal="center" wrapText="1"/>
    </xf>
    <xf numFmtId="49" fontId="22" fillId="0" borderId="32" xfId="0" applyNumberFormat="1" applyFont="1" applyBorder="1" applyAlignment="1" applyProtection="1">
      <alignment horizontal="center" vertical="center" wrapText="1"/>
    </xf>
    <xf numFmtId="49" fontId="4" fillId="0" borderId="32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</xf>
    <xf numFmtId="0" fontId="14" fillId="0" borderId="0" xfId="0" applyNumberFormat="1" applyFont="1" applyFill="1" applyAlignment="1" applyProtection="1">
      <alignment vertical="center"/>
    </xf>
    <xf numFmtId="0" fontId="18" fillId="0" borderId="0" xfId="1" applyNumberFormat="1" applyFont="1" applyFill="1" applyAlignment="1" applyProtection="1">
      <alignment vertical="center"/>
    </xf>
    <xf numFmtId="0" fontId="18" fillId="0" borderId="0" xfId="0" applyNumberFormat="1" applyFont="1" applyFill="1" applyAlignment="1" applyProtection="1">
      <alignment vertical="center"/>
    </xf>
    <xf numFmtId="0" fontId="0" fillId="0" borderId="0" xfId="0" applyNumberFormat="1"/>
    <xf numFmtId="0" fontId="18" fillId="0" borderId="0" xfId="2" applyNumberFormat="1" applyFont="1" applyFill="1" applyAlignment="1" applyProtection="1">
      <alignment vertical="center"/>
    </xf>
    <xf numFmtId="0" fontId="0" fillId="0" borderId="0" xfId="0" applyNumberFormat="1" applyAlignment="1" applyProtection="1"/>
    <xf numFmtId="0" fontId="18" fillId="5" borderId="0" xfId="1" applyFont="1" applyFill="1" applyAlignment="1" applyProtection="1">
      <alignment horizontal="left" vertical="center"/>
    </xf>
    <xf numFmtId="0" fontId="18" fillId="5" borderId="0" xfId="1" applyFont="1" applyFill="1" applyAlignment="1" applyProtection="1">
      <alignment horizontal="center" vertical="center"/>
    </xf>
    <xf numFmtId="49" fontId="18" fillId="5" borderId="0" xfId="1" applyNumberFormat="1" applyFont="1" applyFill="1" applyAlignment="1" applyProtection="1">
      <alignment horizontal="center" vertical="center"/>
    </xf>
    <xf numFmtId="0" fontId="18" fillId="5" borderId="0" xfId="1" applyFont="1" applyFill="1" applyAlignment="1" applyProtection="1">
      <alignment vertical="center" wrapText="1"/>
    </xf>
    <xf numFmtId="0" fontId="18" fillId="5" borderId="0" xfId="0" applyFont="1" applyFill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14" fontId="2" fillId="0" borderId="0" xfId="0" applyNumberFormat="1" applyFont="1" applyFill="1" applyBorder="1" applyAlignment="1" applyProtection="1">
      <alignment horizontal="center" vertical="center"/>
    </xf>
    <xf numFmtId="0" fontId="31" fillId="0" borderId="0" xfId="0" applyFont="1" applyAlignment="1" applyProtection="1">
      <alignment horizontal="left" vertical="center"/>
    </xf>
    <xf numFmtId="0" fontId="31" fillId="0" borderId="0" xfId="0" applyFont="1" applyAlignment="1" applyProtection="1">
      <alignment horizontal="left"/>
    </xf>
    <xf numFmtId="0" fontId="31" fillId="0" borderId="0" xfId="0" applyFont="1" applyProtection="1"/>
  </cellXfs>
  <cellStyles count="4">
    <cellStyle name="Bad" xfId="2" builtinId="27"/>
    <cellStyle name="Good" xfId="1" builtinId="26"/>
    <cellStyle name="Hyperlink" xfId="3" builtinId="8"/>
    <cellStyle name="Normal" xfId="0" builtinId="0"/>
  </cellStyles>
  <dxfs count="119">
    <dxf>
      <fill>
        <patternFill>
          <bgColor rgb="FFFFFF99"/>
        </patternFill>
      </fill>
    </dxf>
    <dxf>
      <fill>
        <patternFill>
          <bgColor rgb="FFBD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ill>
        <patternFill>
          <bgColor rgb="FFFFFF99"/>
        </patternFill>
      </fill>
    </dxf>
    <dxf>
      <fill>
        <patternFill>
          <bgColor rgb="FFBD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99"/>
      <color rgb="FFBDEF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theme/theme1.xml" Type="http://schemas.openxmlformats.org/officeDocument/2006/relationships/theme"/><Relationship Id="rId18" Target="styles.xml" Type="http://schemas.openxmlformats.org/officeDocument/2006/relationships/styles"/><Relationship Id="rId19" Target="sharedStrings.xml" Type="http://schemas.openxmlformats.org/officeDocument/2006/relationships/sharedStrings"/><Relationship Id="rId2" Target="worksheets/sheet2.xml" Type="http://schemas.openxmlformats.org/officeDocument/2006/relationships/worksheet"/><Relationship Id="rId20" Target="calcChain.xml" Type="http://schemas.openxmlformats.org/officeDocument/2006/relationships/calcChain"/><Relationship Id="rId21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Drop" dropStyle="combo" dx="33" fmlaRange="$I$4:$I$7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14288</xdr:rowOff>
        </xdr:from>
        <xdr:to>
          <xdr:col>9</xdr:col>
          <xdr:colOff>114300</xdr:colOff>
          <xdr:row>3</xdr:row>
          <xdr:rowOff>252413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4763</xdr:rowOff>
        </xdr:from>
        <xdr:to>
          <xdr:col>11</xdr:col>
          <xdr:colOff>180975</xdr:colOff>
          <xdr:row>3</xdr:row>
          <xdr:rowOff>261938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5</xdr:row>
          <xdr:rowOff>4763</xdr:rowOff>
        </xdr:from>
        <xdr:to>
          <xdr:col>11</xdr:col>
          <xdr:colOff>185738</xdr:colOff>
          <xdr:row>5</xdr:row>
          <xdr:rowOff>261938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376238</xdr:colOff>
          <xdr:row>2</xdr:row>
          <xdr:rowOff>76200</xdr:rowOff>
        </xdr:from>
        <xdr:to>
          <xdr:col>6</xdr:col>
          <xdr:colOff>1185863</xdr:colOff>
          <xdr:row>2</xdr:row>
          <xdr:rowOff>333375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5062538</xdr:colOff>
          <xdr:row>1</xdr:row>
          <xdr:rowOff>47625</xdr:rowOff>
        </xdr:from>
        <xdr:to>
          <xdr:col>5</xdr:col>
          <xdr:colOff>5872163</xdr:colOff>
          <xdr:row>2</xdr:row>
          <xdr:rowOff>71438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376238</xdr:colOff>
          <xdr:row>2</xdr:row>
          <xdr:rowOff>76200</xdr:rowOff>
        </xdr:from>
        <xdr:to>
          <xdr:col>6</xdr:col>
          <xdr:colOff>1185863</xdr:colOff>
          <xdr:row>2</xdr:row>
          <xdr:rowOff>333375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5062538</xdr:colOff>
          <xdr:row>1</xdr:row>
          <xdr:rowOff>47625</xdr:rowOff>
        </xdr:from>
        <xdr:to>
          <xdr:col>5</xdr:col>
          <xdr:colOff>5872163</xdr:colOff>
          <xdr:row>2</xdr:row>
          <xdr:rowOff>71438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376238</xdr:colOff>
          <xdr:row>2</xdr:row>
          <xdr:rowOff>76200</xdr:rowOff>
        </xdr:from>
        <xdr:to>
          <xdr:col>6</xdr:col>
          <xdr:colOff>1185863</xdr:colOff>
          <xdr:row>2</xdr:row>
          <xdr:rowOff>333375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5062538</xdr:colOff>
          <xdr:row>1</xdr:row>
          <xdr:rowOff>47625</xdr:rowOff>
        </xdr:from>
        <xdr:to>
          <xdr:col>5</xdr:col>
          <xdr:colOff>5872163</xdr:colOff>
          <xdr:row>2</xdr:row>
          <xdr:rowOff>71438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376238</xdr:colOff>
          <xdr:row>2</xdr:row>
          <xdr:rowOff>76200</xdr:rowOff>
        </xdr:from>
        <xdr:to>
          <xdr:col>6</xdr:col>
          <xdr:colOff>1185863</xdr:colOff>
          <xdr:row>2</xdr:row>
          <xdr:rowOff>333375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5062538</xdr:colOff>
          <xdr:row>1</xdr:row>
          <xdr:rowOff>47625</xdr:rowOff>
        </xdr:from>
        <xdr:to>
          <xdr:col>5</xdr:col>
          <xdr:colOff>5872163</xdr:colOff>
          <xdr:row>2</xdr:row>
          <xdr:rowOff>71438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Relationship Id="rId6" Target="../ctrlProps/ctrlProp3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4.xml" Type="http://schemas.openxmlformats.org/officeDocument/2006/relationships/ctrlProp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5.xml" Type="http://schemas.openxmlformats.org/officeDocument/2006/relationships/ctrlProp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Relationship Id="rId2" Target="../drawings/vmlDrawing4.vml" Type="http://schemas.openxmlformats.org/officeDocument/2006/relationships/vmlDrawing"/><Relationship Id="rId3" Target="../ctrlProps/ctrlProp6.xml" Type="http://schemas.openxmlformats.org/officeDocument/2006/relationships/ctrlProp"/></Relationships>
</file>

<file path=xl/worksheets/_rels/sheet8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Relationship Id="rId2" Target="../drawings/vmlDrawing5.vml" Type="http://schemas.openxmlformats.org/officeDocument/2006/relationships/vmlDrawing"/><Relationship Id="rId3" Target="../ctrlProps/ctrlProp7.xml" Type="http://schemas.openxmlformats.org/officeDocument/2006/relationships/ctrlProp"/></Relationships>
</file>

<file path=xl/worksheets/_rels/sheet10.xml.rels><?xml version="1.0" encoding="UTF-8" standalone="no"?><Relationships xmlns="http://schemas.openxmlformats.org/package/2006/relationships"><Relationship Id="rId1" Target="../drawings/drawing6.xml" Type="http://schemas.openxmlformats.org/officeDocument/2006/relationships/drawing"/><Relationship Id="rId2" Target="../drawings/vmlDrawing6.vml" Type="http://schemas.openxmlformats.org/officeDocument/2006/relationships/vmlDrawing"/><Relationship Id="rId3" Target="../ctrlProps/ctrlProp8.xml" Type="http://schemas.openxmlformats.org/officeDocument/2006/relationships/ctrlProp"/></Relationships>
</file>

<file path=xl/worksheets/_rels/sheet11.xml.rels><?xml version="1.0" encoding="UTF-8" standalone="no"?><Relationships xmlns="http://schemas.openxmlformats.org/package/2006/relationships"><Relationship Id="rId1" Target="../drawings/drawing7.xml" Type="http://schemas.openxmlformats.org/officeDocument/2006/relationships/drawing"/><Relationship Id="rId2" Target="../drawings/vmlDrawing7.vml" Type="http://schemas.openxmlformats.org/officeDocument/2006/relationships/vmlDrawing"/><Relationship Id="rId3" Target="../ctrlProps/ctrlProp9.xml" Type="http://schemas.openxmlformats.org/officeDocument/2006/relationships/ctrlProp"/></Relationships>
</file>

<file path=xl/worksheets/_rels/sheet13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Relationship Id="rId2" Target="../drawings/vmlDrawing8.vml" Type="http://schemas.openxmlformats.org/officeDocument/2006/relationships/vmlDrawing"/><Relationship Id="rId3" Target="../ctrlProps/ctrlProp10.xml" Type="http://schemas.openxmlformats.org/officeDocument/2006/relationships/ctrlProp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9.xml" Type="http://schemas.openxmlformats.org/officeDocument/2006/relationships/drawing"/><Relationship Id="rId3" Target="../drawings/vmlDrawing9.vml" Type="http://schemas.openxmlformats.org/officeDocument/2006/relationships/vmlDrawing"/><Relationship Id="rId4" Target="../ctrlProps/ctrlProp11.xml" Type="http://schemas.openxmlformats.org/officeDocument/2006/relationships/ctrlProp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L25"/>
  <sheetViews>
    <sheetView showGridLines="0" showRowColHeaders="0" tabSelected="1" workbookViewId="0">
      <selection activeCell="G13" sqref="G13"/>
    </sheetView>
  </sheetViews>
  <sheetFormatPr defaultRowHeight="14.25" x14ac:dyDescent="0.45"/>
  <cols>
    <col min="2" max="2" width="22.796875" style="2" customWidth="1"/>
    <col min="3" max="3" width="37.59765625" style="2" customWidth="1"/>
    <col min="4" max="4" width="24.06640625" style="39" customWidth="1"/>
    <col min="5" max="5" width="1.9296875" style="39" customWidth="1"/>
    <col min="6" max="6" width="9.06640625" style="2"/>
    <col min="8" max="9" width="9.06640625" hidden="1" customWidth="1"/>
  </cols>
  <sheetData>
    <row r="1" spans="1:12" x14ac:dyDescent="0.45">
      <c r="A1" s="41"/>
      <c r="B1" s="4"/>
      <c r="C1" s="4"/>
      <c r="D1" s="83"/>
      <c r="E1" s="83"/>
      <c r="F1" s="4"/>
      <c r="G1" s="41"/>
      <c r="H1" s="41"/>
      <c r="I1" s="41"/>
      <c r="J1" s="41"/>
      <c r="K1" s="41"/>
      <c r="L1" s="41"/>
    </row>
    <row r="2" spans="1:12" ht="18" x14ac:dyDescent="0.5">
      <c r="A2" s="41"/>
      <c r="B2" s="4"/>
      <c r="C2" s="271" t="s">
        <v>421</v>
      </c>
      <c r="D2" s="272"/>
      <c r="E2" s="272"/>
      <c r="F2" s="4"/>
      <c r="G2" s="270" t="s">
        <v>416</v>
      </c>
      <c r="H2" s="41"/>
      <c r="I2" s="41"/>
      <c r="J2" s="41"/>
      <c r="K2" s="41"/>
      <c r="L2" s="41"/>
    </row>
    <row r="3" spans="1:12" ht="14.65" thickBot="1" x14ac:dyDescent="0.5">
      <c r="A3" s="41"/>
      <c r="B3" s="4"/>
      <c r="C3" s="4"/>
      <c r="D3" s="4"/>
      <c r="E3" s="313"/>
      <c r="F3" s="4"/>
      <c r="G3" s="4"/>
      <c r="H3" s="41"/>
      <c r="I3" s="41"/>
      <c r="J3" s="41"/>
      <c r="K3" s="41"/>
      <c r="L3" s="41"/>
    </row>
    <row r="4" spans="1:12" ht="22.5" customHeight="1" thickBot="1" x14ac:dyDescent="0.5">
      <c r="A4" s="41"/>
      <c r="B4" s="4"/>
      <c r="C4" s="178">
        <v>2019</v>
      </c>
      <c r="D4" s="42" t="s">
        <v>317</v>
      </c>
      <c r="E4" s="360"/>
      <c r="F4" s="4"/>
      <c r="G4" s="41"/>
      <c r="H4" s="41">
        <v>1</v>
      </c>
      <c r="I4" s="41">
        <f>C4-1</f>
        <v>2018</v>
      </c>
      <c r="J4" s="41"/>
      <c r="K4" s="41"/>
      <c r="L4" s="41"/>
    </row>
    <row r="5" spans="1:12" ht="22.5" customHeight="1" thickBot="1" x14ac:dyDescent="0.5">
      <c r="A5" s="41"/>
      <c r="B5" s="4" t="s">
        <v>203</v>
      </c>
      <c r="C5" s="292"/>
      <c r="D5" s="43" t="s">
        <v>200</v>
      </c>
      <c r="E5" s="361"/>
      <c r="F5" s="4"/>
      <c r="G5" s="41"/>
      <c r="H5" s="41">
        <v>2</v>
      </c>
      <c r="I5" s="41">
        <f>I4-1</f>
        <v>2017</v>
      </c>
      <c r="J5" s="41"/>
      <c r="K5" s="41"/>
      <c r="L5" s="41"/>
    </row>
    <row r="6" spans="1:12" ht="22.5" customHeight="1" thickBot="1" x14ac:dyDescent="0.5">
      <c r="A6" s="41"/>
      <c r="B6" s="4" t="s">
        <v>204</v>
      </c>
      <c r="C6" s="292"/>
      <c r="D6" s="43" t="s">
        <v>199</v>
      </c>
      <c r="E6" s="361"/>
      <c r="F6" s="4"/>
      <c r="G6" s="41"/>
      <c r="H6" s="41">
        <v>3</v>
      </c>
      <c r="I6" s="41">
        <f>I4-2</f>
        <v>2016</v>
      </c>
      <c r="J6" s="41"/>
      <c r="K6" s="41"/>
      <c r="L6" s="41"/>
    </row>
    <row r="7" spans="1:12" ht="22.5" customHeight="1" thickBot="1" x14ac:dyDescent="0.5">
      <c r="A7" s="41"/>
      <c r="B7" s="4" t="s">
        <v>205</v>
      </c>
      <c r="C7" s="292"/>
      <c r="D7" s="43" t="s">
        <v>168</v>
      </c>
      <c r="E7" s="361"/>
      <c r="F7" s="4"/>
      <c r="G7" s="41"/>
      <c r="H7" s="175">
        <v>4</v>
      </c>
      <c r="I7" s="41">
        <f>I4-3</f>
        <v>2015</v>
      </c>
      <c r="J7" s="41"/>
      <c r="K7" s="41"/>
      <c r="L7" s="41"/>
    </row>
    <row r="8" spans="1:12" ht="22.5" customHeight="1" thickBot="1" x14ac:dyDescent="0.5">
      <c r="A8" s="41"/>
      <c r="B8" s="4" t="s">
        <v>367</v>
      </c>
      <c r="C8" s="292"/>
      <c r="D8" s="43" t="s">
        <v>453</v>
      </c>
      <c r="E8" s="361"/>
      <c r="F8" s="363">
        <v>7</v>
      </c>
      <c r="G8" s="364"/>
      <c r="H8" s="365"/>
      <c r="I8" s="365"/>
      <c r="J8" s="365"/>
      <c r="K8" s="41"/>
      <c r="L8" s="41"/>
    </row>
    <row r="9" spans="1:12" ht="22.5" customHeight="1" thickBot="1" x14ac:dyDescent="0.5">
      <c r="A9" s="41"/>
      <c r="B9" s="4" t="s">
        <v>320</v>
      </c>
      <c r="C9" s="292"/>
      <c r="D9" s="43" t="s">
        <v>454</v>
      </c>
      <c r="E9" s="361"/>
      <c r="F9" s="363" t="s">
        <v>455</v>
      </c>
      <c r="G9" s="364"/>
      <c r="H9" s="365"/>
      <c r="I9" s="365"/>
      <c r="J9" s="365"/>
      <c r="K9" s="41"/>
      <c r="L9" s="41"/>
    </row>
    <row r="10" spans="1:12" ht="22.5" customHeight="1" thickBot="1" x14ac:dyDescent="0.5">
      <c r="A10" s="41"/>
      <c r="B10" s="4" t="s">
        <v>319</v>
      </c>
      <c r="C10" s="292"/>
      <c r="D10" s="43" t="s">
        <v>399</v>
      </c>
      <c r="E10" s="361"/>
      <c r="F10" s="4"/>
      <c r="G10" s="41"/>
      <c r="H10" s="41"/>
      <c r="I10" s="41"/>
      <c r="J10" s="41"/>
      <c r="K10" s="41"/>
      <c r="L10" s="41"/>
    </row>
    <row r="11" spans="1:12" ht="22.5" customHeight="1" thickBot="1" x14ac:dyDescent="0.5">
      <c r="A11" s="41"/>
      <c r="B11" s="4" t="s">
        <v>206</v>
      </c>
      <c r="C11" s="37"/>
      <c r="D11" s="43" t="s">
        <v>400</v>
      </c>
      <c r="E11" s="361"/>
      <c r="F11" s="4"/>
      <c r="G11" s="41"/>
      <c r="H11" s="41"/>
      <c r="I11" s="41"/>
      <c r="J11" s="41"/>
      <c r="K11" s="41"/>
      <c r="L11" s="41"/>
    </row>
    <row r="12" spans="1:12" ht="22.5" customHeight="1" thickBot="1" x14ac:dyDescent="0.5">
      <c r="A12" s="41"/>
      <c r="B12" s="4" t="s">
        <v>208</v>
      </c>
      <c r="C12" s="37"/>
      <c r="D12" s="43" t="s">
        <v>400</v>
      </c>
      <c r="E12" s="361"/>
      <c r="F12" s="4"/>
      <c r="G12" s="41"/>
      <c r="H12" s="41"/>
      <c r="I12" s="41"/>
      <c r="J12" s="41"/>
      <c r="K12" s="41"/>
      <c r="L12" s="41"/>
    </row>
    <row r="13" spans="1:12" ht="22.5" customHeight="1" thickBot="1" x14ac:dyDescent="0.5">
      <c r="A13" s="41"/>
      <c r="B13" s="4" t="s">
        <v>207</v>
      </c>
      <c r="C13" s="37"/>
      <c r="D13" s="43" t="s">
        <v>401</v>
      </c>
      <c r="E13" s="361"/>
      <c r="F13" s="4"/>
      <c r="G13" s="41"/>
      <c r="H13" s="41"/>
      <c r="I13" s="41"/>
      <c r="J13" s="41"/>
      <c r="K13" s="41"/>
      <c r="L13" s="41"/>
    </row>
    <row r="14" spans="1:12" ht="22.5" customHeight="1" thickBot="1" x14ac:dyDescent="0.5">
      <c r="A14" s="41"/>
      <c r="B14" s="4" t="s">
        <v>209</v>
      </c>
      <c r="C14" s="37"/>
      <c r="D14" s="43" t="s">
        <v>219</v>
      </c>
      <c r="E14" s="361"/>
      <c r="F14" s="4"/>
      <c r="G14" s="41"/>
      <c r="H14" s="41"/>
      <c r="I14" s="41"/>
      <c r="J14" s="41"/>
      <c r="K14" s="41"/>
      <c r="L14" s="41"/>
    </row>
    <row r="15" spans="1:12" ht="22.5" customHeight="1" thickBot="1" x14ac:dyDescent="0.5">
      <c r="A15" s="41"/>
      <c r="B15" s="4" t="s">
        <v>211</v>
      </c>
      <c r="C15" s="37"/>
      <c r="D15" s="43" t="s">
        <v>210</v>
      </c>
      <c r="E15" s="361"/>
      <c r="F15" s="4"/>
      <c r="G15" s="41"/>
      <c r="H15" s="41"/>
      <c r="I15" s="41"/>
      <c r="J15" s="41"/>
      <c r="K15" s="41"/>
      <c r="L15" s="41"/>
    </row>
    <row r="16" spans="1:12" ht="22.5" customHeight="1" thickBot="1" x14ac:dyDescent="0.5">
      <c r="A16" s="41"/>
      <c r="B16" s="4" t="s">
        <v>321</v>
      </c>
      <c r="C16" s="38"/>
      <c r="D16" s="44" t="s">
        <v>417</v>
      </c>
      <c r="E16" s="362"/>
      <c r="F16" s="4"/>
      <c r="G16" s="41"/>
      <c r="H16" s="41"/>
      <c r="I16" s="41"/>
      <c r="J16" s="41"/>
      <c r="K16" s="41"/>
      <c r="L16" s="41"/>
    </row>
    <row r="17" spans="1:12" ht="22.5" customHeight="1" thickBot="1" x14ac:dyDescent="0.5">
      <c r="A17" s="41"/>
      <c r="B17" s="4" t="s">
        <v>212</v>
      </c>
      <c r="C17" s="292"/>
      <c r="D17" s="176" t="s">
        <v>401</v>
      </c>
      <c r="E17" s="361"/>
      <c r="F17" s="4"/>
      <c r="G17" s="41"/>
      <c r="H17" s="41"/>
      <c r="I17" s="45"/>
      <c r="J17" s="41"/>
      <c r="K17" s="41"/>
      <c r="L17" s="41"/>
    </row>
    <row r="18" spans="1:12" ht="27.85" customHeight="1" thickBot="1" x14ac:dyDescent="0.5">
      <c r="A18" s="41"/>
      <c r="B18" s="19" t="s">
        <v>318</v>
      </c>
      <c r="C18" s="292"/>
      <c r="D18" s="43" t="s">
        <v>452</v>
      </c>
      <c r="E18" s="361"/>
      <c r="F18" s="4"/>
      <c r="G18" s="41"/>
      <c r="H18" s="41"/>
      <c r="I18" s="41"/>
      <c r="J18" s="41"/>
      <c r="K18" s="41"/>
      <c r="L18" s="41"/>
    </row>
    <row r="19" spans="1:12" ht="35.25" thickBot="1" x14ac:dyDescent="0.5">
      <c r="A19" s="41"/>
      <c r="B19" s="26" t="s">
        <v>106</v>
      </c>
      <c r="C19" s="292"/>
      <c r="D19" s="176" t="s">
        <v>401</v>
      </c>
      <c r="E19" s="361"/>
      <c r="F19" s="4"/>
      <c r="G19" s="41"/>
      <c r="H19" s="41"/>
      <c r="I19" s="41"/>
      <c r="J19" s="41"/>
      <c r="K19" s="41"/>
      <c r="L19" s="41"/>
    </row>
    <row r="20" spans="1:12" ht="35.25" thickBot="1" x14ac:dyDescent="0.5">
      <c r="A20" s="41"/>
      <c r="B20" s="26" t="s">
        <v>107</v>
      </c>
      <c r="C20" s="292"/>
      <c r="D20" s="176" t="s">
        <v>401</v>
      </c>
      <c r="E20" s="361"/>
      <c r="F20" s="4"/>
      <c r="G20" s="41"/>
      <c r="H20" s="41"/>
      <c r="I20" s="41"/>
      <c r="J20" s="41"/>
      <c r="K20" s="41"/>
      <c r="L20" s="41"/>
    </row>
    <row r="21" spans="1:12" x14ac:dyDescent="0.45">
      <c r="A21" s="41"/>
      <c r="B21" s="4"/>
      <c r="C21" s="4"/>
      <c r="D21" s="46"/>
      <c r="E21" s="46"/>
      <c r="F21" s="4"/>
      <c r="G21" s="41"/>
      <c r="H21" s="41"/>
      <c r="I21" s="41"/>
      <c r="J21" s="41"/>
      <c r="K21" s="41"/>
      <c r="L21" s="41"/>
    </row>
    <row r="22" spans="1:12" x14ac:dyDescent="0.45">
      <c r="A22" s="41"/>
      <c r="F22" s="4"/>
      <c r="G22" s="41"/>
      <c r="H22" s="41"/>
      <c r="I22" s="41"/>
      <c r="J22" s="41"/>
      <c r="K22" s="41"/>
      <c r="L22" s="41"/>
    </row>
    <row r="23" spans="1:12" x14ac:dyDescent="0.45">
      <c r="B23" s="274" t="s">
        <v>418</v>
      </c>
      <c r="C23" s="273" t="s">
        <v>422</v>
      </c>
      <c r="F23" s="4"/>
      <c r="G23" s="41"/>
      <c r="H23" s="41"/>
      <c r="I23" s="41"/>
      <c r="J23" s="41"/>
      <c r="K23" s="41"/>
      <c r="L23" s="41"/>
    </row>
    <row r="24" spans="1:12" x14ac:dyDescent="0.45">
      <c r="B24" s="275" t="s">
        <v>419</v>
      </c>
      <c r="F24" s="4"/>
      <c r="G24" s="41"/>
      <c r="H24" s="41"/>
      <c r="I24" s="41"/>
      <c r="J24" s="41"/>
      <c r="K24" s="41"/>
    </row>
    <row r="25" spans="1:12" x14ac:dyDescent="0.45">
      <c r="K25" s="41"/>
    </row>
  </sheetData>
  <sheetProtection password="DA43" sheet="1" formatCells="0" insertColumns="0" insertRows="0" insertHyperlinks="0" deleteColumns="0" deleteRows="0" sort="0" autoFilter="0" pivotTables="0"/>
  <dataValidations count="1">
    <dataValidation type="date" allowBlank="1" showInputMessage="1" showErrorMessage="1" error="Not a valid date" prompt="Enter a valid date" sqref="C16">
      <formula1>10959</formula1>
      <formula2>36891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DropDown1_Change">
                <anchor moveWithCells="1">
                  <from>
                    <xdr:col>6</xdr:col>
                    <xdr:colOff>0</xdr:colOff>
                    <xdr:row>3</xdr:row>
                    <xdr:rowOff>14288</xdr:rowOff>
                  </from>
                  <to>
                    <xdr:col>9</xdr:col>
                    <xdr:colOff>114300</xdr:colOff>
                    <xdr:row>3</xdr:row>
                    <xdr:rowOff>252413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Sheet1" altText="Reset Form">
                <anchor moveWithCells="1" sizeWithCells="1">
                  <from>
                    <xdr:col>10</xdr:col>
                    <xdr:colOff>19050</xdr:colOff>
                    <xdr:row>3</xdr:row>
                    <xdr:rowOff>4763</xdr:rowOff>
                  </from>
                  <to>
                    <xdr:col>11</xdr:col>
                    <xdr:colOff>180975</xdr:colOff>
                    <xdr:row>3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setAll" altText="Reset Form">
                <anchor moveWithCells="1" sizeWithCells="1">
                  <from>
                    <xdr:col>10</xdr:col>
                    <xdr:colOff>23813</xdr:colOff>
                    <xdr:row>5</xdr:row>
                    <xdr:rowOff>4763</xdr:rowOff>
                  </from>
                  <to>
                    <xdr:col>11</xdr:col>
                    <xdr:colOff>185738</xdr:colOff>
                    <xdr:row>5</xdr:row>
                    <xdr:rowOff>261938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Lists!$B$3:$B$4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P175"/>
  <sheetViews>
    <sheetView showGridLines="0" showRowColHeaders="0" topLeftCell="A3" zoomScaleNormal="100" workbookViewId="0">
      <selection activeCell="D37" sqref="D37"/>
    </sheetView>
  </sheetViews>
  <sheetFormatPr defaultRowHeight="14.25" x14ac:dyDescent="0.45"/>
  <cols>
    <col min="1" max="1" width="1.86328125" style="167" customWidth="1"/>
    <col min="2" max="2" width="6.53125" style="170" customWidth="1"/>
    <col min="3" max="3" width="12.796875" style="206" customWidth="1"/>
    <col min="4" max="4" width="11.86328125" style="207" customWidth="1"/>
    <col min="5" max="5" width="11.86328125" style="207" hidden="1" customWidth="1"/>
    <col min="6" max="6" width="11.86328125" style="207" customWidth="1"/>
    <col min="7" max="7" width="21.6640625" style="167" customWidth="1"/>
    <col min="8" max="8" width="10.9296875" style="168" customWidth="1"/>
    <col min="9" max="9" width="17.33203125" style="168" customWidth="1"/>
    <col min="10" max="10" width="28.86328125" style="167" customWidth="1"/>
    <col min="11" max="11" width="24.19921875" style="167" customWidth="1"/>
    <col min="12" max="12" width="20.3984375" style="167" customWidth="1"/>
    <col min="13" max="13" width="20.265625" style="167" customWidth="1"/>
    <col min="14" max="14" width="22.1328125" style="167" customWidth="1"/>
    <col min="15" max="15" width="13.19921875" style="167" customWidth="1"/>
    <col min="16" max="16384" width="9.06640625" style="167"/>
  </cols>
  <sheetData>
    <row r="1" spans="1:16" hidden="1" x14ac:dyDescent="0.45">
      <c r="A1" s="175"/>
      <c r="B1" s="172"/>
      <c r="C1" s="209"/>
      <c r="D1" s="222"/>
      <c r="E1" s="222"/>
      <c r="F1" s="225" t="s">
        <v>390</v>
      </c>
      <c r="G1" s="226">
        <v>0.9</v>
      </c>
      <c r="H1" s="210"/>
      <c r="I1" s="210"/>
      <c r="J1" s="175"/>
      <c r="K1" s="175"/>
      <c r="L1" s="175"/>
      <c r="M1" s="175"/>
      <c r="N1" s="175"/>
      <c r="O1" s="175"/>
      <c r="P1" s="175"/>
    </row>
    <row r="2" spans="1:16" hidden="1" x14ac:dyDescent="0.45">
      <c r="A2" s="175"/>
      <c r="B2" s="172"/>
      <c r="C2" s="209"/>
      <c r="D2" s="227"/>
      <c r="E2" s="227"/>
      <c r="F2" s="227">
        <f>SUM(F7:F30)</f>
        <v>0</v>
      </c>
      <c r="G2" s="228">
        <f>F2*G1</f>
        <v>0</v>
      </c>
      <c r="H2" s="210"/>
      <c r="I2" s="210"/>
      <c r="J2" s="175"/>
      <c r="K2" s="175"/>
      <c r="L2" s="175"/>
      <c r="M2" s="175"/>
      <c r="N2" s="175"/>
      <c r="O2" s="175"/>
      <c r="P2" s="175"/>
    </row>
    <row r="3" spans="1:16" s="169" customFormat="1" ht="32.25" customHeight="1" x14ac:dyDescent="0.45">
      <c r="A3" s="171"/>
      <c r="B3" s="299">
        <v>2018</v>
      </c>
      <c r="C3" s="240" t="s">
        <v>393</v>
      </c>
      <c r="D3" s="227"/>
      <c r="E3" s="227"/>
      <c r="F3" s="227"/>
      <c r="G3" s="227"/>
      <c r="H3" s="173"/>
      <c r="I3" s="173"/>
      <c r="J3" s="171"/>
      <c r="K3" s="171"/>
      <c r="L3" s="171"/>
      <c r="M3" s="171"/>
      <c r="N3" s="171"/>
      <c r="O3" s="171"/>
      <c r="P3" s="171"/>
    </row>
    <row r="4" spans="1:16" s="169" customFormat="1" ht="14.65" thickBot="1" x14ac:dyDescent="0.5">
      <c r="A4" s="171"/>
      <c r="B4" s="172"/>
      <c r="C4" s="220"/>
      <c r="D4" s="222"/>
      <c r="E4" s="222"/>
      <c r="F4" s="222"/>
      <c r="G4" s="171"/>
      <c r="H4" s="173"/>
      <c r="I4" s="173"/>
      <c r="J4" s="171"/>
      <c r="K4" s="171"/>
      <c r="L4" s="171"/>
      <c r="M4" s="171"/>
      <c r="N4" s="171"/>
      <c r="O4" s="171"/>
      <c r="P4" s="171"/>
    </row>
    <row r="5" spans="1:16" s="170" customFormat="1" ht="14.65" thickTop="1" x14ac:dyDescent="0.45">
      <c r="A5" s="172"/>
      <c r="B5" s="211"/>
      <c r="C5" s="212" t="s">
        <v>371</v>
      </c>
      <c r="D5" s="213" t="s">
        <v>379</v>
      </c>
      <c r="E5" s="213" t="s">
        <v>391</v>
      </c>
      <c r="F5" s="213" t="s">
        <v>390</v>
      </c>
      <c r="G5" s="214" t="s">
        <v>372</v>
      </c>
      <c r="H5" s="214" t="s">
        <v>373</v>
      </c>
      <c r="I5" s="214" t="s">
        <v>374</v>
      </c>
      <c r="J5" s="214" t="s">
        <v>375</v>
      </c>
      <c r="K5" s="214" t="s">
        <v>388</v>
      </c>
      <c r="L5" s="214" t="s">
        <v>389</v>
      </c>
      <c r="M5" s="214" t="s">
        <v>378</v>
      </c>
      <c r="N5" s="214" t="s">
        <v>377</v>
      </c>
      <c r="O5" s="215" t="s">
        <v>376</v>
      </c>
      <c r="P5" s="172"/>
    </row>
    <row r="6" spans="1:16" s="208" customFormat="1" ht="14.65" thickBot="1" x14ac:dyDescent="0.5">
      <c r="A6" s="172"/>
      <c r="B6" s="231" t="s">
        <v>166</v>
      </c>
      <c r="C6" s="232">
        <v>24590.78</v>
      </c>
      <c r="D6" s="233" t="s">
        <v>380</v>
      </c>
      <c r="E6" s="234">
        <v>1.6244000000000001</v>
      </c>
      <c r="F6" s="235" t="s">
        <v>392</v>
      </c>
      <c r="G6" s="236" t="s">
        <v>381</v>
      </c>
      <c r="H6" s="237">
        <v>74456</v>
      </c>
      <c r="I6" s="237">
        <v>56745667</v>
      </c>
      <c r="J6" s="236" t="s">
        <v>382</v>
      </c>
      <c r="K6" s="236" t="s">
        <v>386</v>
      </c>
      <c r="L6" s="236" t="s">
        <v>387</v>
      </c>
      <c r="M6" s="236" t="s">
        <v>383</v>
      </c>
      <c r="N6" s="236" t="s">
        <v>384</v>
      </c>
      <c r="O6" s="238" t="s">
        <v>385</v>
      </c>
      <c r="P6" s="216"/>
    </row>
    <row r="7" spans="1:16" s="169" customFormat="1" ht="17.75" customHeight="1" thickTop="1" x14ac:dyDescent="0.45">
      <c r="A7" s="172"/>
      <c r="B7" s="211">
        <v>1</v>
      </c>
      <c r="C7" s="310"/>
      <c r="D7" s="311"/>
      <c r="E7" s="279" t="str">
        <f>IF(C7="","",VLOOKUP($B$3,Exchange_Rates!$A$2:$B$19,2,FALSE))</f>
        <v/>
      </c>
      <c r="F7" s="243" t="str">
        <f>IF(C7="","",C7*E7)</f>
        <v/>
      </c>
      <c r="G7" s="323"/>
      <c r="H7" s="324"/>
      <c r="I7" s="324"/>
      <c r="J7" s="323"/>
      <c r="K7" s="323"/>
      <c r="L7" s="323"/>
      <c r="M7" s="323"/>
      <c r="N7" s="323"/>
      <c r="O7" s="325"/>
      <c r="P7" s="171"/>
    </row>
    <row r="8" spans="1:16" s="169" customFormat="1" ht="17.75" customHeight="1" x14ac:dyDescent="0.45">
      <c r="A8" s="171"/>
      <c r="B8" s="217">
        <v>2</v>
      </c>
      <c r="C8" s="310"/>
      <c r="D8" s="311"/>
      <c r="E8" s="280" t="str">
        <f>IF(C8="","",VLOOKUP($B$3,Exchange_Rates!$A$2:$B$19,2,FALSE))</f>
        <v/>
      </c>
      <c r="F8" s="244" t="str">
        <f>IF(C8="","",C8*E8)</f>
        <v/>
      </c>
      <c r="G8" s="323"/>
      <c r="H8" s="324"/>
      <c r="I8" s="324"/>
      <c r="J8" s="323"/>
      <c r="K8" s="323"/>
      <c r="L8" s="323"/>
      <c r="M8" s="323"/>
      <c r="N8" s="323"/>
      <c r="O8" s="325"/>
      <c r="P8" s="171"/>
    </row>
    <row r="9" spans="1:16" s="169" customFormat="1" ht="17.75" customHeight="1" x14ac:dyDescent="0.45">
      <c r="A9" s="171"/>
      <c r="B9" s="217">
        <v>3</v>
      </c>
      <c r="C9" s="310"/>
      <c r="D9" s="311"/>
      <c r="E9" s="280" t="str">
        <f>IF(C9="","",VLOOKUP($B$3,Exchange_Rates!$A$2:$B$19,2,FALSE))</f>
        <v/>
      </c>
      <c r="F9" s="244" t="str">
        <f t="shared" ref="F9:F25" si="0">IF(C9="","",C9*E9)</f>
        <v/>
      </c>
      <c r="G9" s="323"/>
      <c r="H9" s="324"/>
      <c r="I9" s="324"/>
      <c r="J9" s="323"/>
      <c r="K9" s="323"/>
      <c r="L9" s="323"/>
      <c r="M9" s="323"/>
      <c r="N9" s="323"/>
      <c r="O9" s="325"/>
      <c r="P9" s="171"/>
    </row>
    <row r="10" spans="1:16" s="169" customFormat="1" ht="17.75" customHeight="1" x14ac:dyDescent="0.45">
      <c r="A10" s="171"/>
      <c r="B10" s="217">
        <v>4</v>
      </c>
      <c r="C10" s="310"/>
      <c r="D10" s="311"/>
      <c r="E10" s="280" t="str">
        <f>IF(C10="","",VLOOKUP($B$3,Exchange_Rates!$A$2:$B$19,2,FALSE))</f>
        <v/>
      </c>
      <c r="F10" s="244" t="str">
        <f t="shared" si="0"/>
        <v/>
      </c>
      <c r="G10" s="323"/>
      <c r="H10" s="324"/>
      <c r="I10" s="324"/>
      <c r="J10" s="323"/>
      <c r="K10" s="323"/>
      <c r="L10" s="323"/>
      <c r="M10" s="323"/>
      <c r="N10" s="323"/>
      <c r="O10" s="325"/>
      <c r="P10" s="171"/>
    </row>
    <row r="11" spans="1:16" s="169" customFormat="1" ht="17.75" customHeight="1" x14ac:dyDescent="0.45">
      <c r="A11" s="171"/>
      <c r="B11" s="217">
        <v>5</v>
      </c>
      <c r="C11" s="310"/>
      <c r="D11" s="311"/>
      <c r="E11" s="280" t="str">
        <f>IF(C11="","",VLOOKUP($B$3,Exchange_Rates!$A$2:$B$19,2,FALSE))</f>
        <v/>
      </c>
      <c r="F11" s="244" t="str">
        <f t="shared" si="0"/>
        <v/>
      </c>
      <c r="G11" s="323"/>
      <c r="H11" s="324"/>
      <c r="I11" s="324"/>
      <c r="J11" s="323"/>
      <c r="K11" s="323"/>
      <c r="L11" s="323"/>
      <c r="M11" s="323"/>
      <c r="N11" s="323"/>
      <c r="O11" s="325"/>
      <c r="P11" s="171"/>
    </row>
    <row r="12" spans="1:16" s="169" customFormat="1" ht="17.75" customHeight="1" x14ac:dyDescent="0.45">
      <c r="A12" s="171"/>
      <c r="B12" s="217">
        <v>6</v>
      </c>
      <c r="C12" s="310"/>
      <c r="D12" s="311"/>
      <c r="E12" s="280" t="str">
        <f>IF(C12="","",VLOOKUP($B$3,Exchange_Rates!$A$2:$B$19,2,FALSE))</f>
        <v/>
      </c>
      <c r="F12" s="244" t="str">
        <f t="shared" si="0"/>
        <v/>
      </c>
      <c r="G12" s="323"/>
      <c r="H12" s="324"/>
      <c r="I12" s="324"/>
      <c r="J12" s="323"/>
      <c r="K12" s="323"/>
      <c r="L12" s="323"/>
      <c r="M12" s="323"/>
      <c r="N12" s="323"/>
      <c r="O12" s="325"/>
      <c r="P12" s="171"/>
    </row>
    <row r="13" spans="1:16" s="169" customFormat="1" ht="17.75" customHeight="1" x14ac:dyDescent="0.45">
      <c r="A13" s="171"/>
      <c r="B13" s="217">
        <v>7</v>
      </c>
      <c r="C13" s="245"/>
      <c r="D13" s="246"/>
      <c r="E13" s="280" t="str">
        <f>IF(C13="","",VLOOKUP($B$3,Exchange_Rates!$A$2:$B$19,2,FALSE))</f>
        <v/>
      </c>
      <c r="F13" s="244" t="str">
        <f t="shared" si="0"/>
        <v/>
      </c>
      <c r="G13" s="288"/>
      <c r="H13" s="287"/>
      <c r="I13" s="287"/>
      <c r="J13" s="288"/>
      <c r="K13" s="288"/>
      <c r="L13" s="288"/>
      <c r="M13" s="288"/>
      <c r="N13" s="288"/>
      <c r="O13" s="286"/>
      <c r="P13" s="171"/>
    </row>
    <row r="14" spans="1:16" s="169" customFormat="1" ht="17.75" customHeight="1" x14ac:dyDescent="0.45">
      <c r="A14" s="171"/>
      <c r="B14" s="217">
        <v>8</v>
      </c>
      <c r="C14" s="245"/>
      <c r="D14" s="246"/>
      <c r="E14" s="280" t="str">
        <f>IF(C14="","",VLOOKUP($B$3,Exchange_Rates!$A$2:$B$19,2,FALSE))</f>
        <v/>
      </c>
      <c r="F14" s="244" t="str">
        <f t="shared" si="0"/>
        <v/>
      </c>
      <c r="G14" s="288"/>
      <c r="H14" s="287"/>
      <c r="I14" s="287"/>
      <c r="J14" s="288"/>
      <c r="K14" s="288"/>
      <c r="L14" s="288"/>
      <c r="M14" s="288"/>
      <c r="N14" s="288"/>
      <c r="O14" s="286"/>
      <c r="P14" s="171"/>
    </row>
    <row r="15" spans="1:16" s="169" customFormat="1" ht="17.75" customHeight="1" x14ac:dyDescent="0.45">
      <c r="A15" s="171"/>
      <c r="B15" s="217">
        <v>9</v>
      </c>
      <c r="C15" s="245"/>
      <c r="D15" s="246"/>
      <c r="E15" s="280" t="str">
        <f>IF(C15="","",VLOOKUP($B$3,Exchange_Rates!$A$2:$B$19,2,FALSE))</f>
        <v/>
      </c>
      <c r="F15" s="244" t="str">
        <f t="shared" si="0"/>
        <v/>
      </c>
      <c r="G15" s="288"/>
      <c r="H15" s="287"/>
      <c r="I15" s="287"/>
      <c r="J15" s="288"/>
      <c r="K15" s="288"/>
      <c r="L15" s="288"/>
      <c r="M15" s="288"/>
      <c r="N15" s="288"/>
      <c r="O15" s="286"/>
      <c r="P15" s="171"/>
    </row>
    <row r="16" spans="1:16" s="169" customFormat="1" ht="17.75" customHeight="1" x14ac:dyDescent="0.45">
      <c r="A16" s="171"/>
      <c r="B16" s="217">
        <v>10</v>
      </c>
      <c r="C16" s="245"/>
      <c r="D16" s="246"/>
      <c r="E16" s="280" t="str">
        <f>IF(C16="","",VLOOKUP($B$3,Exchange_Rates!$A$2:$B$19,2,FALSE))</f>
        <v/>
      </c>
      <c r="F16" s="244" t="str">
        <f t="shared" si="0"/>
        <v/>
      </c>
      <c r="G16" s="288"/>
      <c r="H16" s="287"/>
      <c r="I16" s="287"/>
      <c r="J16" s="288"/>
      <c r="K16" s="288"/>
      <c r="L16" s="288"/>
      <c r="M16" s="288"/>
      <c r="N16" s="288"/>
      <c r="O16" s="286"/>
      <c r="P16" s="171"/>
    </row>
    <row r="17" spans="1:16" s="169" customFormat="1" x14ac:dyDescent="0.45">
      <c r="A17" s="171"/>
      <c r="B17" s="217">
        <v>11</v>
      </c>
      <c r="C17" s="245"/>
      <c r="D17" s="246"/>
      <c r="E17" s="280" t="str">
        <f>IF(C17="","",VLOOKUP($B$3,Exchange_Rates!$A$2:$B$19,2,FALSE))</f>
        <v/>
      </c>
      <c r="F17" s="244" t="str">
        <f t="shared" si="0"/>
        <v/>
      </c>
      <c r="G17" s="288"/>
      <c r="H17" s="287"/>
      <c r="I17" s="287"/>
      <c r="J17" s="288"/>
      <c r="K17" s="288"/>
      <c r="L17" s="288"/>
      <c r="M17" s="288"/>
      <c r="N17" s="288"/>
      <c r="O17" s="286"/>
      <c r="P17" s="171"/>
    </row>
    <row r="18" spans="1:16" s="169" customFormat="1" x14ac:dyDescent="0.45">
      <c r="A18" s="171"/>
      <c r="B18" s="217">
        <v>12</v>
      </c>
      <c r="C18" s="245"/>
      <c r="D18" s="246"/>
      <c r="E18" s="280" t="str">
        <f>IF(C18="","",VLOOKUP($B$3,Exchange_Rates!$A$2:$B$19,2,FALSE))</f>
        <v/>
      </c>
      <c r="F18" s="244" t="str">
        <f t="shared" si="0"/>
        <v/>
      </c>
      <c r="G18" s="288"/>
      <c r="H18" s="287"/>
      <c r="I18" s="287"/>
      <c r="J18" s="288"/>
      <c r="K18" s="288"/>
      <c r="L18" s="288"/>
      <c r="M18" s="288"/>
      <c r="N18" s="288"/>
      <c r="O18" s="286"/>
      <c r="P18" s="171"/>
    </row>
    <row r="19" spans="1:16" s="169" customFormat="1" x14ac:dyDescent="0.45">
      <c r="A19" s="171"/>
      <c r="B19" s="217">
        <v>13</v>
      </c>
      <c r="C19" s="245"/>
      <c r="D19" s="246"/>
      <c r="E19" s="280" t="str">
        <f>IF(C19="","",VLOOKUP($B$3,Exchange_Rates!$A$2:$B$19,2,FALSE))</f>
        <v/>
      </c>
      <c r="F19" s="244" t="str">
        <f t="shared" si="0"/>
        <v/>
      </c>
      <c r="G19" s="288"/>
      <c r="H19" s="287"/>
      <c r="I19" s="287"/>
      <c r="J19" s="288"/>
      <c r="K19" s="288"/>
      <c r="L19" s="288"/>
      <c r="M19" s="288"/>
      <c r="N19" s="288"/>
      <c r="O19" s="286"/>
      <c r="P19" s="171"/>
    </row>
    <row r="20" spans="1:16" s="169" customFormat="1" x14ac:dyDescent="0.45">
      <c r="A20" s="171"/>
      <c r="B20" s="217">
        <v>14</v>
      </c>
      <c r="C20" s="245"/>
      <c r="D20" s="246"/>
      <c r="E20" s="280" t="str">
        <f>IF(C20="","",VLOOKUP($B$3,Exchange_Rates!$A$2:$B$19,2,FALSE))</f>
        <v/>
      </c>
      <c r="F20" s="244" t="str">
        <f t="shared" si="0"/>
        <v/>
      </c>
      <c r="G20" s="288"/>
      <c r="H20" s="287"/>
      <c r="I20" s="287"/>
      <c r="J20" s="288"/>
      <c r="K20" s="288"/>
      <c r="L20" s="288"/>
      <c r="M20" s="288"/>
      <c r="N20" s="288"/>
      <c r="O20" s="286"/>
      <c r="P20" s="171"/>
    </row>
    <row r="21" spans="1:16" s="169" customFormat="1" x14ac:dyDescent="0.45">
      <c r="A21" s="171"/>
      <c r="B21" s="217">
        <v>15</v>
      </c>
      <c r="C21" s="245"/>
      <c r="D21" s="246"/>
      <c r="E21" s="280" t="str">
        <f>IF(C21="","",VLOOKUP($B$3,Exchange_Rates!$A$2:$B$19,2,FALSE))</f>
        <v/>
      </c>
      <c r="F21" s="244" t="str">
        <f t="shared" si="0"/>
        <v/>
      </c>
      <c r="G21" s="288"/>
      <c r="H21" s="287"/>
      <c r="I21" s="287"/>
      <c r="J21" s="288"/>
      <c r="K21" s="288"/>
      <c r="L21" s="288"/>
      <c r="M21" s="288"/>
      <c r="N21" s="288"/>
      <c r="O21" s="286"/>
      <c r="P21" s="171"/>
    </row>
    <row r="22" spans="1:16" s="169" customFormat="1" x14ac:dyDescent="0.45">
      <c r="A22" s="171"/>
      <c r="B22" s="217">
        <v>16</v>
      </c>
      <c r="C22" s="245"/>
      <c r="D22" s="246"/>
      <c r="E22" s="280" t="str">
        <f>IF(C22="","",VLOOKUP($B$3,Exchange_Rates!$A$2:$B$19,2,FALSE))</f>
        <v/>
      </c>
      <c r="F22" s="244" t="str">
        <f t="shared" si="0"/>
        <v/>
      </c>
      <c r="G22" s="288"/>
      <c r="H22" s="287"/>
      <c r="I22" s="287"/>
      <c r="J22" s="288"/>
      <c r="K22" s="288"/>
      <c r="L22" s="288"/>
      <c r="M22" s="288"/>
      <c r="N22" s="288"/>
      <c r="O22" s="286"/>
      <c r="P22" s="171"/>
    </row>
    <row r="23" spans="1:16" s="169" customFormat="1" x14ac:dyDescent="0.45">
      <c r="A23" s="171"/>
      <c r="B23" s="217">
        <v>17</v>
      </c>
      <c r="C23" s="245"/>
      <c r="D23" s="246"/>
      <c r="E23" s="280" t="str">
        <f>IF(C23="","",VLOOKUP($B$3,Exchange_Rates!$A$2:$B$19,2,FALSE))</f>
        <v/>
      </c>
      <c r="F23" s="244" t="str">
        <f t="shared" si="0"/>
        <v/>
      </c>
      <c r="G23" s="288"/>
      <c r="H23" s="287"/>
      <c r="I23" s="287"/>
      <c r="J23" s="288"/>
      <c r="K23" s="288"/>
      <c r="L23" s="288"/>
      <c r="M23" s="288"/>
      <c r="N23" s="288"/>
      <c r="O23" s="286"/>
      <c r="P23" s="171"/>
    </row>
    <row r="24" spans="1:16" s="169" customFormat="1" x14ac:dyDescent="0.45">
      <c r="A24" s="171"/>
      <c r="B24" s="217">
        <v>18</v>
      </c>
      <c r="C24" s="245"/>
      <c r="D24" s="246"/>
      <c r="E24" s="280" t="str">
        <f>IF(C24="","",VLOOKUP($B$3,Exchange_Rates!$A$2:$B$19,2,FALSE))</f>
        <v/>
      </c>
      <c r="F24" s="244" t="str">
        <f t="shared" si="0"/>
        <v/>
      </c>
      <c r="G24" s="288"/>
      <c r="H24" s="285"/>
      <c r="I24" s="285"/>
      <c r="J24" s="288"/>
      <c r="K24" s="288"/>
      <c r="L24" s="288"/>
      <c r="M24" s="288"/>
      <c r="N24" s="288"/>
      <c r="O24" s="286"/>
      <c r="P24" s="171"/>
    </row>
    <row r="25" spans="1:16" s="169" customFormat="1" x14ac:dyDescent="0.45">
      <c r="A25" s="171"/>
      <c r="B25" s="217">
        <v>19</v>
      </c>
      <c r="C25" s="245"/>
      <c r="D25" s="246"/>
      <c r="E25" s="280" t="str">
        <f>IF(C25="","",VLOOKUP($B$3,Exchange_Rates!$A$2:$B$19,2,FALSE))</f>
        <v/>
      </c>
      <c r="F25" s="244" t="str">
        <f t="shared" si="0"/>
        <v/>
      </c>
      <c r="G25" s="288"/>
      <c r="H25" s="285"/>
      <c r="I25" s="285"/>
      <c r="J25" s="288"/>
      <c r="K25" s="288"/>
      <c r="L25" s="288"/>
      <c r="M25" s="288"/>
      <c r="N25" s="288"/>
      <c r="O25" s="286"/>
      <c r="P25" s="171"/>
    </row>
    <row r="26" spans="1:16" s="169" customFormat="1" ht="14.65" thickBot="1" x14ac:dyDescent="0.5">
      <c r="A26" s="171"/>
      <c r="B26" s="239">
        <v>20</v>
      </c>
      <c r="C26" s="247"/>
      <c r="D26" s="248"/>
      <c r="E26" s="281" t="str">
        <f>IF(C26="","",VLOOKUP($B$3,Exchange_Rates!$A$2:$B$19,2,FALSE))</f>
        <v/>
      </c>
      <c r="F26" s="249" t="str">
        <f>IF(C26="","",C26*E26)</f>
        <v/>
      </c>
      <c r="G26" s="284"/>
      <c r="H26" s="283"/>
      <c r="I26" s="283"/>
      <c r="J26" s="284"/>
      <c r="K26" s="284"/>
      <c r="L26" s="284"/>
      <c r="M26" s="284"/>
      <c r="N26" s="284"/>
      <c r="O26" s="282"/>
      <c r="P26" s="171"/>
    </row>
    <row r="27" spans="1:16" s="169" customFormat="1" ht="14.65" thickTop="1" x14ac:dyDescent="0.45">
      <c r="A27" s="171"/>
      <c r="B27" s="172"/>
      <c r="C27" s="221"/>
      <c r="D27" s="223"/>
      <c r="E27" s="223"/>
      <c r="F27" s="229"/>
      <c r="G27" s="241"/>
      <c r="H27" s="242"/>
      <c r="I27" s="242"/>
      <c r="J27" s="241"/>
      <c r="K27" s="241"/>
      <c r="L27" s="241"/>
      <c r="M27" s="241"/>
      <c r="N27" s="241"/>
      <c r="O27" s="241"/>
      <c r="P27" s="171"/>
    </row>
    <row r="28" spans="1:16" s="169" customFormat="1" x14ac:dyDescent="0.45">
      <c r="B28" s="170"/>
      <c r="C28" s="221"/>
      <c r="D28" s="223"/>
      <c r="E28" s="223"/>
      <c r="F28" s="224"/>
      <c r="G28" s="241"/>
      <c r="H28" s="242"/>
      <c r="I28" s="242"/>
      <c r="J28" s="241"/>
      <c r="K28" s="241"/>
      <c r="L28" s="241"/>
      <c r="M28" s="241"/>
      <c r="N28" s="241"/>
      <c r="O28" s="241"/>
    </row>
    <row r="29" spans="1:16" s="169" customFormat="1" x14ac:dyDescent="0.45">
      <c r="B29" s="170"/>
      <c r="C29" s="221"/>
      <c r="D29" s="223"/>
      <c r="E29" s="223"/>
      <c r="F29" s="207"/>
      <c r="G29" s="241"/>
      <c r="H29" s="242"/>
      <c r="I29" s="242"/>
      <c r="J29" s="241"/>
      <c r="K29" s="241"/>
      <c r="L29" s="241"/>
      <c r="M29" s="241"/>
      <c r="N29" s="241"/>
      <c r="O29" s="241"/>
    </row>
    <row r="30" spans="1:16" s="169" customFormat="1" x14ac:dyDescent="0.45">
      <c r="B30" s="170"/>
      <c r="C30" s="221"/>
      <c r="D30" s="223"/>
      <c r="E30" s="223"/>
      <c r="F30" s="207"/>
      <c r="G30" s="241"/>
      <c r="H30" s="242"/>
      <c r="I30" s="242"/>
      <c r="J30" s="241"/>
      <c r="K30" s="241"/>
      <c r="L30" s="241"/>
      <c r="M30" s="241"/>
      <c r="N30" s="241"/>
      <c r="O30" s="241"/>
    </row>
    <row r="31" spans="1:16" s="169" customFormat="1" x14ac:dyDescent="0.45">
      <c r="B31" s="170"/>
      <c r="C31" s="221"/>
      <c r="D31" s="223"/>
      <c r="E31" s="223"/>
      <c r="F31" s="207"/>
      <c r="G31" s="241"/>
      <c r="H31" s="242"/>
      <c r="I31" s="242"/>
      <c r="J31" s="241"/>
      <c r="K31" s="241"/>
      <c r="L31" s="241"/>
      <c r="M31" s="241"/>
      <c r="N31" s="241"/>
      <c r="O31" s="241"/>
    </row>
    <row r="32" spans="1:16" s="169" customFormat="1" x14ac:dyDescent="0.45">
      <c r="B32" s="170"/>
      <c r="C32" s="221"/>
      <c r="D32" s="223"/>
      <c r="E32" s="223"/>
      <c r="F32" s="207"/>
      <c r="G32" s="241"/>
      <c r="H32" s="242"/>
      <c r="I32" s="242"/>
      <c r="J32" s="241"/>
      <c r="K32" s="241"/>
      <c r="L32" s="241"/>
      <c r="M32" s="241"/>
      <c r="N32" s="241"/>
      <c r="O32" s="241"/>
    </row>
    <row r="33" spans="2:15" s="169" customFormat="1" x14ac:dyDescent="0.45">
      <c r="B33" s="170"/>
      <c r="C33" s="221"/>
      <c r="D33" s="223"/>
      <c r="E33" s="223"/>
      <c r="F33" s="207"/>
      <c r="G33" s="241"/>
      <c r="H33" s="242"/>
      <c r="I33" s="242"/>
      <c r="J33" s="241"/>
      <c r="K33" s="241"/>
      <c r="L33" s="241"/>
      <c r="M33" s="241"/>
      <c r="N33" s="241"/>
      <c r="O33" s="241"/>
    </row>
    <row r="34" spans="2:15" s="169" customFormat="1" x14ac:dyDescent="0.45">
      <c r="B34" s="170"/>
      <c r="C34" s="221"/>
      <c r="D34" s="223"/>
      <c r="E34" s="223"/>
      <c r="F34" s="207"/>
      <c r="G34" s="241"/>
      <c r="H34" s="242"/>
      <c r="I34" s="242"/>
      <c r="J34" s="241"/>
      <c r="K34" s="241"/>
      <c r="L34" s="241"/>
      <c r="M34" s="241"/>
      <c r="N34" s="241"/>
      <c r="O34" s="241"/>
    </row>
    <row r="35" spans="2:15" s="169" customFormat="1" x14ac:dyDescent="0.45">
      <c r="B35" s="170"/>
      <c r="C35" s="221"/>
      <c r="D35" s="223"/>
      <c r="E35" s="223"/>
      <c r="F35" s="207"/>
      <c r="G35" s="241"/>
      <c r="H35" s="242"/>
      <c r="I35" s="242"/>
      <c r="J35" s="241"/>
      <c r="K35" s="241"/>
      <c r="L35" s="241"/>
      <c r="M35" s="241"/>
      <c r="N35" s="241"/>
      <c r="O35" s="241"/>
    </row>
    <row r="36" spans="2:15" s="169" customFormat="1" x14ac:dyDescent="0.45">
      <c r="B36" s="170"/>
      <c r="C36" s="221"/>
      <c r="D36" s="223"/>
      <c r="E36" s="223"/>
      <c r="F36" s="207"/>
      <c r="G36" s="241"/>
      <c r="H36" s="242"/>
      <c r="I36" s="242"/>
      <c r="J36" s="241"/>
      <c r="K36" s="241"/>
      <c r="L36" s="241"/>
      <c r="M36" s="241"/>
      <c r="N36" s="241"/>
      <c r="O36" s="241"/>
    </row>
    <row r="37" spans="2:15" s="169" customFormat="1" x14ac:dyDescent="0.45">
      <c r="B37" s="170"/>
      <c r="C37" s="221"/>
      <c r="D37" s="223"/>
      <c r="E37" s="223"/>
      <c r="F37" s="207"/>
      <c r="G37" s="241"/>
      <c r="H37" s="242"/>
      <c r="I37" s="242"/>
      <c r="J37" s="241"/>
      <c r="K37" s="241"/>
      <c r="L37" s="241"/>
      <c r="M37" s="241"/>
      <c r="N37" s="241"/>
      <c r="O37" s="241"/>
    </row>
    <row r="38" spans="2:15" s="169" customFormat="1" x14ac:dyDescent="0.45">
      <c r="B38" s="170"/>
      <c r="C38" s="221"/>
      <c r="D38" s="223"/>
      <c r="E38" s="223"/>
      <c r="F38" s="207"/>
      <c r="G38" s="241"/>
      <c r="H38" s="242"/>
      <c r="I38" s="242"/>
      <c r="J38" s="241"/>
      <c r="K38" s="241"/>
      <c r="L38" s="241"/>
      <c r="M38" s="241"/>
      <c r="N38" s="241"/>
      <c r="O38" s="241"/>
    </row>
    <row r="39" spans="2:15" s="169" customFormat="1" x14ac:dyDescent="0.45">
      <c r="B39" s="170"/>
      <c r="C39" s="221"/>
      <c r="D39" s="223"/>
      <c r="E39" s="223"/>
      <c r="F39" s="207"/>
      <c r="G39" s="241"/>
      <c r="H39" s="242"/>
      <c r="I39" s="242"/>
      <c r="J39" s="241"/>
      <c r="K39" s="241"/>
      <c r="L39" s="241"/>
      <c r="M39" s="241"/>
      <c r="N39" s="241"/>
      <c r="O39" s="241"/>
    </row>
    <row r="40" spans="2:15" s="169" customFormat="1" x14ac:dyDescent="0.45">
      <c r="B40" s="170"/>
      <c r="C40" s="221"/>
      <c r="D40" s="223"/>
      <c r="E40" s="223"/>
      <c r="F40" s="207"/>
      <c r="G40" s="241"/>
      <c r="H40" s="242"/>
      <c r="I40" s="242"/>
      <c r="J40" s="241"/>
      <c r="K40" s="241"/>
      <c r="L40" s="241"/>
      <c r="M40" s="241"/>
      <c r="N40" s="241"/>
      <c r="O40" s="241"/>
    </row>
    <row r="41" spans="2:15" s="169" customFormat="1" x14ac:dyDescent="0.45">
      <c r="B41" s="170"/>
      <c r="C41" s="221"/>
      <c r="D41" s="223"/>
      <c r="E41" s="223"/>
      <c r="F41" s="207"/>
      <c r="G41" s="241"/>
      <c r="H41" s="242"/>
      <c r="I41" s="242"/>
      <c r="J41" s="241"/>
      <c r="K41" s="241"/>
      <c r="L41" s="241"/>
      <c r="M41" s="241"/>
      <c r="N41" s="241"/>
      <c r="O41" s="241"/>
    </row>
    <row r="42" spans="2:15" s="169" customFormat="1" x14ac:dyDescent="0.45">
      <c r="B42" s="170"/>
      <c r="C42" s="221"/>
      <c r="D42" s="223"/>
      <c r="E42" s="223"/>
      <c r="F42" s="207"/>
      <c r="G42" s="241"/>
      <c r="H42" s="242"/>
      <c r="I42" s="242"/>
      <c r="J42" s="241"/>
      <c r="K42" s="241"/>
      <c r="L42" s="241"/>
      <c r="M42" s="241"/>
      <c r="N42" s="241"/>
      <c r="O42" s="241"/>
    </row>
    <row r="43" spans="2:15" s="169" customFormat="1" x14ac:dyDescent="0.45">
      <c r="B43" s="170"/>
      <c r="C43" s="221"/>
      <c r="D43" s="223"/>
      <c r="E43" s="223"/>
      <c r="F43" s="207"/>
      <c r="G43" s="241"/>
      <c r="H43" s="242"/>
      <c r="I43" s="242"/>
      <c r="J43" s="241"/>
      <c r="K43" s="241"/>
      <c r="L43" s="241"/>
      <c r="M43" s="241"/>
      <c r="N43" s="241"/>
      <c r="O43" s="241"/>
    </row>
    <row r="44" spans="2:15" s="169" customFormat="1" x14ac:dyDescent="0.45">
      <c r="B44" s="170"/>
      <c r="C44" s="221"/>
      <c r="D44" s="223"/>
      <c r="E44" s="223"/>
      <c r="F44" s="207"/>
      <c r="G44" s="241"/>
      <c r="H44" s="242"/>
      <c r="I44" s="242"/>
      <c r="J44" s="241"/>
      <c r="K44" s="241"/>
      <c r="L44" s="241"/>
      <c r="M44" s="241"/>
      <c r="N44" s="241"/>
      <c r="O44" s="241"/>
    </row>
    <row r="45" spans="2:15" s="169" customFormat="1" x14ac:dyDescent="0.45">
      <c r="B45" s="170"/>
      <c r="C45" s="221"/>
      <c r="D45" s="223"/>
      <c r="E45" s="223"/>
      <c r="F45" s="207"/>
      <c r="G45" s="241"/>
      <c r="H45" s="242"/>
      <c r="I45" s="242"/>
      <c r="J45" s="241"/>
      <c r="K45" s="241"/>
      <c r="L45" s="241"/>
      <c r="M45" s="241"/>
      <c r="N45" s="241"/>
      <c r="O45" s="241"/>
    </row>
    <row r="46" spans="2:15" x14ac:dyDescent="0.45">
      <c r="C46" s="218"/>
      <c r="D46" s="223"/>
      <c r="E46" s="223"/>
      <c r="G46" s="219"/>
      <c r="H46" s="230"/>
      <c r="I46" s="230"/>
      <c r="J46" s="219"/>
      <c r="K46" s="219"/>
      <c r="L46" s="219"/>
      <c r="M46" s="219"/>
      <c r="N46" s="219"/>
      <c r="O46" s="219"/>
    </row>
    <row r="47" spans="2:15" x14ac:dyDescent="0.45">
      <c r="B47" s="167"/>
      <c r="C47" s="218"/>
      <c r="D47" s="223"/>
      <c r="E47" s="223"/>
      <c r="G47" s="219"/>
      <c r="H47" s="230"/>
      <c r="I47" s="230"/>
      <c r="J47" s="219"/>
      <c r="K47" s="219"/>
      <c r="L47" s="219"/>
      <c r="M47" s="219"/>
      <c r="N47" s="219"/>
      <c r="O47" s="219"/>
    </row>
    <row r="48" spans="2:15" x14ac:dyDescent="0.45">
      <c r="B48" s="167"/>
      <c r="C48" s="218"/>
      <c r="D48" s="223"/>
      <c r="E48" s="223"/>
      <c r="G48" s="219"/>
      <c r="H48" s="230"/>
      <c r="I48" s="230"/>
      <c r="J48" s="219"/>
      <c r="K48" s="219"/>
      <c r="L48" s="219"/>
      <c r="M48" s="219"/>
      <c r="N48" s="219"/>
      <c r="O48" s="219"/>
    </row>
    <row r="49" spans="2:15" x14ac:dyDescent="0.45">
      <c r="B49" s="167"/>
      <c r="C49" s="218"/>
      <c r="D49" s="223"/>
      <c r="E49" s="223"/>
      <c r="G49" s="219"/>
      <c r="H49" s="230"/>
      <c r="I49" s="230"/>
      <c r="J49" s="219"/>
      <c r="K49" s="219"/>
      <c r="L49" s="219"/>
      <c r="M49" s="219"/>
      <c r="N49" s="219"/>
      <c r="O49" s="219"/>
    </row>
    <row r="50" spans="2:15" x14ac:dyDescent="0.45">
      <c r="B50" s="167"/>
      <c r="C50" s="218"/>
      <c r="D50" s="223"/>
      <c r="E50" s="223"/>
      <c r="G50" s="219"/>
      <c r="H50" s="230"/>
      <c r="I50" s="230"/>
      <c r="J50" s="219"/>
      <c r="K50" s="219"/>
      <c r="L50" s="219"/>
      <c r="M50" s="219"/>
      <c r="N50" s="219"/>
      <c r="O50" s="219"/>
    </row>
    <row r="51" spans="2:15" x14ac:dyDescent="0.45">
      <c r="B51" s="167"/>
      <c r="C51" s="218"/>
      <c r="D51" s="223"/>
      <c r="E51" s="223"/>
      <c r="G51" s="219"/>
      <c r="H51" s="230"/>
      <c r="I51" s="230"/>
      <c r="J51" s="219"/>
      <c r="K51" s="219"/>
      <c r="L51" s="219"/>
      <c r="M51" s="219"/>
      <c r="N51" s="219"/>
      <c r="O51" s="219"/>
    </row>
    <row r="52" spans="2:15" x14ac:dyDescent="0.45">
      <c r="B52" s="167"/>
      <c r="C52" s="218"/>
      <c r="D52" s="223"/>
      <c r="E52" s="223"/>
      <c r="G52" s="219"/>
      <c r="H52" s="230"/>
      <c r="I52" s="230"/>
      <c r="J52" s="219"/>
      <c r="K52" s="219"/>
      <c r="L52" s="219"/>
      <c r="M52" s="219"/>
      <c r="N52" s="219"/>
      <c r="O52" s="219"/>
    </row>
    <row r="53" spans="2:15" x14ac:dyDescent="0.45">
      <c r="B53" s="167"/>
      <c r="C53" s="218"/>
      <c r="D53" s="223"/>
      <c r="E53" s="223"/>
      <c r="G53" s="219"/>
      <c r="H53" s="230"/>
      <c r="I53" s="230"/>
      <c r="J53" s="219"/>
      <c r="K53" s="219"/>
      <c r="L53" s="219"/>
      <c r="M53" s="219"/>
      <c r="N53" s="219"/>
      <c r="O53" s="219"/>
    </row>
    <row r="54" spans="2:15" x14ac:dyDescent="0.45">
      <c r="B54" s="167"/>
      <c r="C54" s="218"/>
      <c r="D54" s="223"/>
      <c r="E54" s="223"/>
      <c r="G54" s="219"/>
      <c r="H54" s="230"/>
      <c r="I54" s="230"/>
      <c r="J54" s="219"/>
      <c r="K54" s="219"/>
      <c r="L54" s="219"/>
      <c r="M54" s="219"/>
      <c r="N54" s="219"/>
      <c r="O54" s="219"/>
    </row>
    <row r="55" spans="2:15" x14ac:dyDescent="0.45">
      <c r="B55" s="167"/>
      <c r="C55" s="218"/>
      <c r="D55" s="223"/>
      <c r="E55" s="223"/>
      <c r="G55" s="219"/>
      <c r="H55" s="230"/>
      <c r="I55" s="230"/>
      <c r="J55" s="219"/>
      <c r="K55" s="219"/>
      <c r="L55" s="219"/>
      <c r="M55" s="219"/>
      <c r="N55" s="219"/>
      <c r="O55" s="219"/>
    </row>
    <row r="56" spans="2:15" x14ac:dyDescent="0.45">
      <c r="B56" s="167"/>
      <c r="C56" s="218"/>
      <c r="D56" s="223"/>
      <c r="E56" s="223"/>
      <c r="G56" s="219"/>
      <c r="H56" s="230"/>
      <c r="I56" s="230"/>
      <c r="J56" s="219"/>
      <c r="K56" s="219"/>
      <c r="L56" s="219"/>
      <c r="M56" s="219"/>
      <c r="N56" s="219"/>
      <c r="O56" s="219"/>
    </row>
    <row r="57" spans="2:15" x14ac:dyDescent="0.45">
      <c r="B57" s="167"/>
      <c r="C57" s="218"/>
      <c r="D57" s="223"/>
      <c r="E57" s="223"/>
      <c r="G57" s="219"/>
      <c r="H57" s="230"/>
      <c r="I57" s="230"/>
      <c r="J57" s="219"/>
      <c r="K57" s="219"/>
      <c r="L57" s="219"/>
      <c r="M57" s="219"/>
      <c r="N57" s="219"/>
      <c r="O57" s="219"/>
    </row>
    <row r="58" spans="2:15" x14ac:dyDescent="0.45">
      <c r="B58" s="167"/>
      <c r="C58" s="218"/>
      <c r="D58" s="223"/>
      <c r="E58" s="223"/>
      <c r="G58" s="219"/>
      <c r="H58" s="230"/>
      <c r="I58" s="230"/>
      <c r="J58" s="219"/>
      <c r="K58" s="219"/>
      <c r="L58" s="219"/>
      <c r="M58" s="219"/>
      <c r="N58" s="219"/>
      <c r="O58" s="219"/>
    </row>
    <row r="59" spans="2:15" x14ac:dyDescent="0.45">
      <c r="B59" s="167"/>
      <c r="C59" s="218"/>
      <c r="D59" s="223"/>
      <c r="E59" s="223"/>
      <c r="G59" s="219"/>
      <c r="H59" s="230"/>
      <c r="I59" s="230"/>
      <c r="J59" s="219"/>
      <c r="K59" s="219"/>
      <c r="L59" s="219"/>
      <c r="M59" s="219"/>
      <c r="N59" s="219"/>
      <c r="O59" s="219"/>
    </row>
    <row r="60" spans="2:15" x14ac:dyDescent="0.45">
      <c r="B60" s="167"/>
      <c r="C60" s="218"/>
      <c r="D60" s="223"/>
      <c r="E60" s="223"/>
      <c r="G60" s="219"/>
      <c r="H60" s="230"/>
      <c r="I60" s="230"/>
      <c r="J60" s="219"/>
      <c r="K60" s="219"/>
      <c r="L60" s="219"/>
      <c r="M60" s="219"/>
      <c r="N60" s="219"/>
      <c r="O60" s="219"/>
    </row>
    <row r="61" spans="2:15" x14ac:dyDescent="0.45">
      <c r="B61" s="167"/>
      <c r="C61" s="218"/>
      <c r="D61" s="223"/>
      <c r="E61" s="223"/>
      <c r="G61" s="219"/>
      <c r="H61" s="230"/>
      <c r="I61" s="230"/>
      <c r="J61" s="219"/>
      <c r="K61" s="219"/>
      <c r="L61" s="219"/>
      <c r="M61" s="219"/>
      <c r="N61" s="219"/>
      <c r="O61" s="219"/>
    </row>
    <row r="62" spans="2:15" x14ac:dyDescent="0.45">
      <c r="B62" s="167"/>
      <c r="C62" s="218"/>
      <c r="D62" s="223"/>
      <c r="E62" s="223"/>
      <c r="G62" s="219"/>
      <c r="H62" s="230"/>
      <c r="I62" s="230"/>
      <c r="J62" s="219"/>
      <c r="K62" s="219"/>
      <c r="L62" s="219"/>
      <c r="M62" s="219"/>
      <c r="N62" s="219"/>
      <c r="O62" s="219"/>
    </row>
    <row r="63" spans="2:15" x14ac:dyDescent="0.45">
      <c r="B63" s="167"/>
      <c r="C63" s="218"/>
      <c r="D63" s="223"/>
      <c r="E63" s="223"/>
      <c r="G63" s="219"/>
      <c r="H63" s="230"/>
      <c r="I63" s="230"/>
      <c r="J63" s="219"/>
      <c r="K63" s="219"/>
      <c r="L63" s="219"/>
      <c r="M63" s="219"/>
      <c r="N63" s="219"/>
      <c r="O63" s="219"/>
    </row>
    <row r="64" spans="2:15" x14ac:dyDescent="0.45">
      <c r="B64" s="167"/>
      <c r="C64" s="218"/>
      <c r="D64" s="223"/>
      <c r="E64" s="223"/>
      <c r="G64" s="219"/>
      <c r="H64" s="230"/>
      <c r="I64" s="230"/>
      <c r="J64" s="219"/>
      <c r="K64" s="219"/>
      <c r="L64" s="219"/>
      <c r="M64" s="219"/>
      <c r="N64" s="219"/>
      <c r="O64" s="219"/>
    </row>
    <row r="65" spans="2:15" x14ac:dyDescent="0.45">
      <c r="B65" s="167"/>
      <c r="C65" s="218"/>
      <c r="D65" s="223"/>
      <c r="E65" s="223"/>
      <c r="G65" s="219"/>
      <c r="H65" s="230"/>
      <c r="I65" s="230"/>
      <c r="J65" s="219"/>
      <c r="K65" s="219"/>
      <c r="L65" s="219"/>
      <c r="M65" s="219"/>
      <c r="N65" s="219"/>
      <c r="O65" s="219"/>
    </row>
    <row r="66" spans="2:15" x14ac:dyDescent="0.45">
      <c r="B66" s="167"/>
      <c r="C66" s="218"/>
      <c r="D66" s="223"/>
      <c r="E66" s="223"/>
      <c r="G66" s="219"/>
      <c r="H66" s="230"/>
      <c r="I66" s="230"/>
      <c r="J66" s="219"/>
      <c r="K66" s="219"/>
      <c r="L66" s="219"/>
      <c r="M66" s="219"/>
      <c r="N66" s="219"/>
      <c r="O66" s="219"/>
    </row>
    <row r="67" spans="2:15" x14ac:dyDescent="0.45">
      <c r="B67" s="167"/>
      <c r="C67" s="218"/>
      <c r="D67" s="223"/>
      <c r="E67" s="223"/>
      <c r="G67" s="219"/>
      <c r="H67" s="230"/>
      <c r="I67" s="230"/>
      <c r="J67" s="219"/>
      <c r="K67" s="219"/>
      <c r="L67" s="219"/>
      <c r="M67" s="219"/>
      <c r="N67" s="219"/>
      <c r="O67" s="219"/>
    </row>
    <row r="68" spans="2:15" x14ac:dyDescent="0.45">
      <c r="B68" s="167"/>
      <c r="C68" s="218"/>
      <c r="D68" s="223"/>
      <c r="E68" s="223"/>
      <c r="G68" s="219"/>
      <c r="H68" s="230"/>
      <c r="I68" s="230"/>
      <c r="J68" s="219"/>
      <c r="K68" s="219"/>
      <c r="L68" s="219"/>
      <c r="M68" s="219"/>
      <c r="N68" s="219"/>
      <c r="O68" s="219"/>
    </row>
    <row r="69" spans="2:15" x14ac:dyDescent="0.45">
      <c r="B69" s="167"/>
      <c r="C69" s="218"/>
      <c r="D69" s="223"/>
      <c r="E69" s="223"/>
      <c r="G69" s="219"/>
      <c r="H69" s="230"/>
      <c r="I69" s="230"/>
      <c r="J69" s="219"/>
      <c r="K69" s="219"/>
      <c r="L69" s="219"/>
      <c r="M69" s="219"/>
      <c r="N69" s="219"/>
      <c r="O69" s="219"/>
    </row>
    <row r="70" spans="2:15" x14ac:dyDescent="0.45">
      <c r="B70" s="167"/>
      <c r="C70" s="218"/>
      <c r="D70" s="223"/>
      <c r="E70" s="223"/>
      <c r="G70" s="219"/>
      <c r="H70" s="230"/>
      <c r="I70" s="230"/>
      <c r="J70" s="219"/>
      <c r="K70" s="219"/>
      <c r="L70" s="219"/>
      <c r="M70" s="219"/>
      <c r="N70" s="219"/>
      <c r="O70" s="219"/>
    </row>
    <row r="71" spans="2:15" x14ac:dyDescent="0.45">
      <c r="B71" s="167"/>
      <c r="C71" s="218"/>
      <c r="D71" s="223"/>
      <c r="E71" s="223"/>
      <c r="G71" s="219"/>
      <c r="H71" s="230"/>
      <c r="I71" s="230"/>
      <c r="J71" s="219"/>
      <c r="K71" s="219"/>
      <c r="L71" s="219"/>
      <c r="M71" s="219"/>
      <c r="N71" s="219"/>
      <c r="O71" s="219"/>
    </row>
    <row r="72" spans="2:15" x14ac:dyDescent="0.45">
      <c r="B72" s="167"/>
      <c r="C72" s="218"/>
      <c r="D72" s="223"/>
      <c r="E72" s="223"/>
      <c r="G72" s="219"/>
      <c r="H72" s="230"/>
      <c r="I72" s="230"/>
      <c r="J72" s="219"/>
      <c r="K72" s="219"/>
      <c r="L72" s="219"/>
      <c r="M72" s="219"/>
      <c r="N72" s="219"/>
      <c r="O72" s="219"/>
    </row>
    <row r="73" spans="2:15" x14ac:dyDescent="0.45">
      <c r="B73" s="167"/>
      <c r="C73" s="218"/>
      <c r="D73" s="223"/>
      <c r="E73" s="223"/>
      <c r="G73" s="219"/>
      <c r="H73" s="230"/>
      <c r="I73" s="230"/>
      <c r="J73" s="219"/>
      <c r="K73" s="219"/>
      <c r="L73" s="219"/>
      <c r="M73" s="219"/>
      <c r="N73" s="219"/>
      <c r="O73" s="219"/>
    </row>
    <row r="74" spans="2:15" x14ac:dyDescent="0.45">
      <c r="B74" s="167"/>
      <c r="C74" s="218"/>
      <c r="D74" s="223"/>
      <c r="E74" s="223"/>
      <c r="G74" s="219"/>
      <c r="H74" s="230"/>
      <c r="I74" s="230"/>
      <c r="J74" s="219"/>
      <c r="K74" s="219"/>
      <c r="L74" s="219"/>
      <c r="M74" s="219"/>
      <c r="N74" s="219"/>
      <c r="O74" s="219"/>
    </row>
    <row r="75" spans="2:15" x14ac:dyDescent="0.45">
      <c r="B75" s="167"/>
      <c r="C75" s="218"/>
      <c r="D75" s="223"/>
      <c r="E75" s="223"/>
      <c r="G75" s="219"/>
      <c r="H75" s="230"/>
      <c r="I75" s="230"/>
      <c r="J75" s="219"/>
      <c r="K75" s="219"/>
      <c r="L75" s="219"/>
      <c r="M75" s="219"/>
      <c r="N75" s="219"/>
      <c r="O75" s="219"/>
    </row>
    <row r="76" spans="2:15" x14ac:dyDescent="0.45">
      <c r="B76" s="167"/>
      <c r="C76" s="218"/>
      <c r="D76" s="223"/>
      <c r="E76" s="223"/>
      <c r="G76" s="219"/>
      <c r="H76" s="230"/>
      <c r="I76" s="230"/>
      <c r="J76" s="219"/>
      <c r="K76" s="219"/>
      <c r="L76" s="219"/>
      <c r="M76" s="219"/>
      <c r="N76" s="219"/>
      <c r="O76" s="219"/>
    </row>
    <row r="77" spans="2:15" x14ac:dyDescent="0.45">
      <c r="B77" s="167"/>
      <c r="C77" s="218"/>
      <c r="D77" s="223"/>
      <c r="E77" s="223"/>
      <c r="G77" s="219"/>
      <c r="H77" s="230"/>
      <c r="I77" s="230"/>
      <c r="J77" s="219"/>
      <c r="K77" s="219"/>
      <c r="L77" s="219"/>
      <c r="M77" s="219"/>
      <c r="N77" s="219"/>
      <c r="O77" s="219"/>
    </row>
    <row r="78" spans="2:15" x14ac:dyDescent="0.45">
      <c r="B78" s="167"/>
      <c r="C78" s="218"/>
      <c r="D78" s="223"/>
      <c r="E78" s="223"/>
      <c r="G78" s="219"/>
      <c r="H78" s="230"/>
      <c r="I78" s="230"/>
      <c r="J78" s="219"/>
      <c r="K78" s="219"/>
      <c r="L78" s="219"/>
      <c r="M78" s="219"/>
      <c r="N78" s="219"/>
      <c r="O78" s="219"/>
    </row>
    <row r="79" spans="2:15" x14ac:dyDescent="0.45">
      <c r="B79" s="167"/>
      <c r="C79" s="218"/>
      <c r="D79" s="223"/>
      <c r="E79" s="223"/>
      <c r="G79" s="219"/>
      <c r="H79" s="230"/>
      <c r="I79" s="230"/>
      <c r="J79" s="219"/>
      <c r="K79" s="219"/>
      <c r="L79" s="219"/>
      <c r="M79" s="219"/>
      <c r="N79" s="219"/>
      <c r="O79" s="219"/>
    </row>
    <row r="80" spans="2:15" x14ac:dyDescent="0.45">
      <c r="B80" s="167"/>
      <c r="C80" s="218"/>
      <c r="D80" s="223"/>
      <c r="E80" s="223"/>
      <c r="G80" s="219"/>
      <c r="H80" s="230"/>
      <c r="I80" s="230"/>
      <c r="J80" s="219"/>
      <c r="K80" s="219"/>
      <c r="L80" s="219"/>
      <c r="M80" s="219"/>
      <c r="N80" s="219"/>
      <c r="O80" s="219"/>
    </row>
    <row r="81" spans="2:15" x14ac:dyDescent="0.45">
      <c r="B81" s="167"/>
      <c r="C81" s="218"/>
      <c r="D81" s="223"/>
      <c r="E81" s="223"/>
      <c r="G81" s="219"/>
      <c r="H81" s="230"/>
      <c r="I81" s="230"/>
      <c r="J81" s="219"/>
      <c r="K81" s="219"/>
      <c r="L81" s="219"/>
      <c r="M81" s="219"/>
      <c r="N81" s="219"/>
      <c r="O81" s="219"/>
    </row>
    <row r="82" spans="2:15" x14ac:dyDescent="0.45">
      <c r="B82" s="167"/>
      <c r="C82" s="218"/>
      <c r="D82" s="223"/>
      <c r="E82" s="223"/>
      <c r="G82" s="219"/>
      <c r="H82" s="230"/>
      <c r="I82" s="230"/>
      <c r="J82" s="219"/>
      <c r="K82" s="219"/>
      <c r="L82" s="219"/>
      <c r="M82" s="219"/>
      <c r="N82" s="219"/>
      <c r="O82" s="219"/>
    </row>
    <row r="83" spans="2:15" x14ac:dyDescent="0.45">
      <c r="B83" s="167"/>
      <c r="C83" s="218"/>
      <c r="D83" s="223"/>
      <c r="E83" s="223"/>
      <c r="G83" s="219"/>
      <c r="H83" s="230"/>
      <c r="I83" s="230"/>
      <c r="J83" s="219"/>
      <c r="K83" s="219"/>
      <c r="L83" s="219"/>
      <c r="M83" s="219"/>
      <c r="N83" s="219"/>
      <c r="O83" s="219"/>
    </row>
    <row r="84" spans="2:15" x14ac:dyDescent="0.45">
      <c r="B84" s="167"/>
      <c r="C84" s="218"/>
      <c r="D84" s="223"/>
      <c r="E84" s="223"/>
      <c r="G84" s="219"/>
      <c r="H84" s="230"/>
      <c r="I84" s="230"/>
      <c r="J84" s="219"/>
      <c r="K84" s="219"/>
      <c r="L84" s="219"/>
      <c r="M84" s="219"/>
      <c r="N84" s="219"/>
      <c r="O84" s="219"/>
    </row>
    <row r="85" spans="2:15" x14ac:dyDescent="0.45">
      <c r="B85" s="167"/>
      <c r="C85" s="218"/>
      <c r="D85" s="223"/>
      <c r="E85" s="223"/>
      <c r="G85" s="219"/>
      <c r="H85" s="230"/>
      <c r="I85" s="230"/>
      <c r="J85" s="219"/>
      <c r="K85" s="219"/>
      <c r="L85" s="219"/>
      <c r="M85" s="219"/>
      <c r="N85" s="219"/>
      <c r="O85" s="219"/>
    </row>
    <row r="86" spans="2:15" x14ac:dyDescent="0.45">
      <c r="B86" s="167"/>
      <c r="C86" s="218"/>
      <c r="D86" s="223"/>
      <c r="E86" s="223"/>
      <c r="G86" s="219"/>
      <c r="H86" s="230"/>
      <c r="I86" s="230"/>
      <c r="J86" s="219"/>
      <c r="K86" s="219"/>
      <c r="L86" s="219"/>
      <c r="M86" s="219"/>
      <c r="N86" s="219"/>
      <c r="O86" s="219"/>
    </row>
    <row r="87" spans="2:15" x14ac:dyDescent="0.45">
      <c r="B87" s="167"/>
      <c r="C87" s="218"/>
      <c r="D87" s="223"/>
      <c r="E87" s="223"/>
      <c r="G87" s="219"/>
      <c r="H87" s="230"/>
      <c r="I87" s="230"/>
      <c r="J87" s="219"/>
      <c r="K87" s="219"/>
      <c r="L87" s="219"/>
      <c r="M87" s="219"/>
      <c r="N87" s="219"/>
      <c r="O87" s="219"/>
    </row>
    <row r="88" spans="2:15" x14ac:dyDescent="0.45">
      <c r="B88" s="167"/>
      <c r="C88" s="218"/>
      <c r="D88" s="223"/>
      <c r="E88" s="223"/>
      <c r="G88" s="219"/>
      <c r="H88" s="230"/>
      <c r="I88" s="230"/>
      <c r="J88" s="219"/>
      <c r="K88" s="219"/>
      <c r="L88" s="219"/>
      <c r="M88" s="219"/>
      <c r="N88" s="219"/>
      <c r="O88" s="219"/>
    </row>
    <row r="89" spans="2:15" x14ac:dyDescent="0.45">
      <c r="B89" s="167"/>
      <c r="C89" s="218"/>
      <c r="D89" s="223"/>
      <c r="E89" s="223"/>
      <c r="G89" s="219"/>
      <c r="H89" s="230"/>
      <c r="I89" s="230"/>
      <c r="J89" s="219"/>
      <c r="K89" s="219"/>
      <c r="L89" s="219"/>
      <c r="M89" s="219"/>
      <c r="N89" s="219"/>
      <c r="O89" s="219"/>
    </row>
    <row r="90" spans="2:15" x14ac:dyDescent="0.45">
      <c r="B90" s="167"/>
      <c r="C90" s="218"/>
      <c r="D90" s="223"/>
      <c r="E90" s="223"/>
      <c r="G90" s="219"/>
      <c r="H90" s="230"/>
      <c r="I90" s="230"/>
      <c r="J90" s="219"/>
      <c r="K90" s="219"/>
      <c r="L90" s="219"/>
      <c r="M90" s="219"/>
      <c r="N90" s="219"/>
      <c r="O90" s="219"/>
    </row>
    <row r="91" spans="2:15" x14ac:dyDescent="0.45">
      <c r="B91" s="167"/>
      <c r="C91" s="218"/>
      <c r="D91" s="223"/>
      <c r="E91" s="223"/>
      <c r="G91" s="219"/>
      <c r="H91" s="230"/>
      <c r="I91" s="230"/>
      <c r="J91" s="219"/>
      <c r="K91" s="219"/>
      <c r="L91" s="219"/>
      <c r="M91" s="219"/>
      <c r="N91" s="219"/>
      <c r="O91" s="219"/>
    </row>
    <row r="92" spans="2:15" x14ac:dyDescent="0.45">
      <c r="B92" s="167"/>
      <c r="C92" s="218"/>
      <c r="D92" s="223"/>
      <c r="E92" s="223"/>
      <c r="G92" s="219"/>
      <c r="H92" s="230"/>
      <c r="I92" s="230"/>
      <c r="J92" s="219"/>
      <c r="K92" s="219"/>
      <c r="L92" s="219"/>
      <c r="M92" s="219"/>
      <c r="N92" s="219"/>
      <c r="O92" s="219"/>
    </row>
    <row r="93" spans="2:15" x14ac:dyDescent="0.45">
      <c r="B93" s="167"/>
      <c r="C93" s="218"/>
      <c r="D93" s="223"/>
      <c r="E93" s="223"/>
      <c r="G93" s="219"/>
      <c r="H93" s="230"/>
      <c r="I93" s="230"/>
      <c r="J93" s="219"/>
      <c r="K93" s="219"/>
      <c r="L93" s="219"/>
      <c r="M93" s="219"/>
      <c r="N93" s="219"/>
      <c r="O93" s="219"/>
    </row>
    <row r="94" spans="2:15" x14ac:dyDescent="0.45">
      <c r="B94" s="167"/>
      <c r="C94" s="218"/>
      <c r="D94" s="223"/>
      <c r="E94" s="223"/>
      <c r="G94" s="219"/>
      <c r="H94" s="230"/>
      <c r="I94" s="230"/>
      <c r="J94" s="219"/>
      <c r="K94" s="219"/>
      <c r="L94" s="219"/>
      <c r="M94" s="219"/>
      <c r="N94" s="219"/>
      <c r="O94" s="219"/>
    </row>
    <row r="95" spans="2:15" x14ac:dyDescent="0.45">
      <c r="B95" s="167"/>
      <c r="C95" s="218"/>
      <c r="D95" s="223"/>
      <c r="E95" s="223"/>
      <c r="G95" s="219"/>
      <c r="H95" s="230"/>
      <c r="I95" s="230"/>
      <c r="J95" s="219"/>
      <c r="K95" s="219"/>
      <c r="L95" s="219"/>
      <c r="M95" s="219"/>
      <c r="N95" s="219"/>
      <c r="O95" s="219"/>
    </row>
    <row r="96" spans="2:15" x14ac:dyDescent="0.45">
      <c r="B96" s="167"/>
      <c r="C96" s="218"/>
      <c r="D96" s="223"/>
      <c r="E96" s="223"/>
      <c r="G96" s="219"/>
      <c r="H96" s="230"/>
      <c r="I96" s="230"/>
      <c r="J96" s="219"/>
      <c r="K96" s="219"/>
      <c r="L96" s="219"/>
      <c r="M96" s="219"/>
      <c r="N96" s="219"/>
      <c r="O96" s="219"/>
    </row>
    <row r="97" spans="2:15" x14ac:dyDescent="0.45">
      <c r="B97" s="167"/>
      <c r="C97" s="218"/>
      <c r="D97" s="223"/>
      <c r="E97" s="223"/>
      <c r="G97" s="219"/>
      <c r="H97" s="230"/>
      <c r="I97" s="230"/>
      <c r="J97" s="219"/>
      <c r="K97" s="219"/>
      <c r="L97" s="219"/>
      <c r="M97" s="219"/>
      <c r="N97" s="219"/>
      <c r="O97" s="219"/>
    </row>
    <row r="98" spans="2:15" x14ac:dyDescent="0.45">
      <c r="B98" s="167"/>
      <c r="C98" s="218"/>
      <c r="D98" s="223"/>
      <c r="E98" s="223"/>
      <c r="G98" s="219"/>
      <c r="H98" s="230"/>
      <c r="I98" s="230"/>
      <c r="J98" s="219"/>
      <c r="K98" s="219"/>
      <c r="L98" s="219"/>
      <c r="M98" s="219"/>
      <c r="N98" s="219"/>
      <c r="O98" s="219"/>
    </row>
    <row r="99" spans="2:15" x14ac:dyDescent="0.45">
      <c r="B99" s="167"/>
      <c r="C99" s="218"/>
      <c r="D99" s="223"/>
      <c r="E99" s="223"/>
      <c r="G99" s="219"/>
      <c r="H99" s="230"/>
      <c r="I99" s="230"/>
      <c r="J99" s="219"/>
      <c r="K99" s="219"/>
      <c r="L99" s="219"/>
      <c r="M99" s="219"/>
      <c r="N99" s="219"/>
      <c r="O99" s="219"/>
    </row>
    <row r="100" spans="2:15" x14ac:dyDescent="0.45">
      <c r="B100" s="167"/>
      <c r="C100" s="218"/>
      <c r="D100" s="223"/>
      <c r="E100" s="223"/>
      <c r="G100" s="219"/>
      <c r="H100" s="230"/>
      <c r="I100" s="230"/>
      <c r="J100" s="219"/>
      <c r="K100" s="219"/>
      <c r="L100" s="219"/>
      <c r="M100" s="219"/>
      <c r="N100" s="219"/>
      <c r="O100" s="219"/>
    </row>
    <row r="101" spans="2:15" x14ac:dyDescent="0.45">
      <c r="B101" s="167"/>
      <c r="C101" s="218"/>
      <c r="D101" s="223"/>
      <c r="E101" s="223"/>
      <c r="G101" s="219"/>
      <c r="H101" s="230"/>
      <c r="I101" s="230"/>
      <c r="J101" s="219"/>
      <c r="K101" s="219"/>
      <c r="L101" s="219"/>
      <c r="M101" s="219"/>
      <c r="N101" s="219"/>
      <c r="O101" s="219"/>
    </row>
    <row r="102" spans="2:15" x14ac:dyDescent="0.45">
      <c r="B102" s="167"/>
      <c r="C102" s="218"/>
      <c r="D102" s="223"/>
      <c r="E102" s="223"/>
      <c r="G102" s="219"/>
      <c r="H102" s="230"/>
      <c r="I102" s="230"/>
      <c r="J102" s="219"/>
      <c r="K102" s="219"/>
      <c r="L102" s="219"/>
      <c r="M102" s="219"/>
      <c r="N102" s="219"/>
      <c r="O102" s="219"/>
    </row>
    <row r="103" spans="2:15" x14ac:dyDescent="0.45">
      <c r="B103" s="167"/>
      <c r="C103" s="218"/>
      <c r="D103" s="223"/>
      <c r="E103" s="223"/>
      <c r="G103" s="219"/>
      <c r="H103" s="230"/>
      <c r="I103" s="230"/>
      <c r="J103" s="219"/>
      <c r="K103" s="219"/>
      <c r="L103" s="219"/>
      <c r="M103" s="219"/>
      <c r="N103" s="219"/>
      <c r="O103" s="219"/>
    </row>
    <row r="104" spans="2:15" x14ac:dyDescent="0.45">
      <c r="B104" s="167"/>
      <c r="C104" s="218"/>
      <c r="D104" s="223"/>
      <c r="E104" s="223"/>
      <c r="G104" s="219"/>
      <c r="H104" s="230"/>
      <c r="I104" s="230"/>
      <c r="J104" s="219"/>
      <c r="K104" s="219"/>
      <c r="L104" s="219"/>
      <c r="M104" s="219"/>
      <c r="N104" s="219"/>
      <c r="O104" s="219"/>
    </row>
    <row r="105" spans="2:15" x14ac:dyDescent="0.45">
      <c r="B105" s="167"/>
      <c r="C105" s="218"/>
      <c r="D105" s="223"/>
      <c r="E105" s="223"/>
      <c r="G105" s="219"/>
      <c r="H105" s="230"/>
      <c r="I105" s="230"/>
      <c r="J105" s="219"/>
      <c r="K105" s="219"/>
      <c r="L105" s="219"/>
      <c r="M105" s="219"/>
      <c r="N105" s="219"/>
      <c r="O105" s="219"/>
    </row>
    <row r="106" spans="2:15" x14ac:dyDescent="0.45">
      <c r="B106" s="167"/>
      <c r="C106" s="218"/>
      <c r="D106" s="223"/>
      <c r="E106" s="223"/>
      <c r="G106" s="219"/>
      <c r="H106" s="230"/>
      <c r="I106" s="230"/>
      <c r="J106" s="219"/>
      <c r="K106" s="219"/>
      <c r="L106" s="219"/>
      <c r="M106" s="219"/>
      <c r="N106" s="219"/>
      <c r="O106" s="219"/>
    </row>
    <row r="107" spans="2:15" x14ac:dyDescent="0.45">
      <c r="B107" s="167"/>
      <c r="C107" s="218"/>
      <c r="D107" s="223"/>
      <c r="E107" s="223"/>
      <c r="G107" s="219"/>
      <c r="H107" s="230"/>
      <c r="I107" s="230"/>
      <c r="J107" s="219"/>
      <c r="K107" s="219"/>
      <c r="L107" s="219"/>
      <c r="M107" s="219"/>
      <c r="N107" s="219"/>
      <c r="O107" s="219"/>
    </row>
    <row r="108" spans="2:15" x14ac:dyDescent="0.45">
      <c r="B108" s="167"/>
      <c r="C108" s="218"/>
      <c r="D108" s="223"/>
      <c r="E108" s="223"/>
      <c r="G108" s="219"/>
      <c r="H108" s="230"/>
      <c r="I108" s="230"/>
      <c r="J108" s="219"/>
      <c r="K108" s="219"/>
      <c r="L108" s="219"/>
      <c r="M108" s="219"/>
      <c r="N108" s="219"/>
      <c r="O108" s="219"/>
    </row>
    <row r="109" spans="2:15" x14ac:dyDescent="0.45">
      <c r="B109" s="167"/>
      <c r="C109" s="218"/>
      <c r="D109" s="223"/>
      <c r="E109" s="223"/>
      <c r="G109" s="219"/>
      <c r="H109" s="230"/>
      <c r="I109" s="230"/>
      <c r="J109" s="219"/>
      <c r="K109" s="219"/>
      <c r="L109" s="219"/>
      <c r="M109" s="219"/>
      <c r="N109" s="219"/>
      <c r="O109" s="219"/>
    </row>
    <row r="110" spans="2:15" x14ac:dyDescent="0.45">
      <c r="B110" s="167"/>
      <c r="C110" s="218"/>
      <c r="D110" s="223"/>
      <c r="E110" s="223"/>
      <c r="G110" s="219"/>
      <c r="H110" s="230"/>
      <c r="I110" s="230"/>
      <c r="J110" s="219"/>
      <c r="K110" s="219"/>
      <c r="L110" s="219"/>
      <c r="M110" s="219"/>
      <c r="N110" s="219"/>
      <c r="O110" s="219"/>
    </row>
    <row r="111" spans="2:15" x14ac:dyDescent="0.45">
      <c r="B111" s="167"/>
      <c r="C111" s="218"/>
      <c r="D111" s="223"/>
      <c r="E111" s="223"/>
      <c r="G111" s="219"/>
      <c r="H111" s="230"/>
      <c r="I111" s="230"/>
      <c r="J111" s="219"/>
      <c r="K111" s="219"/>
      <c r="L111" s="219"/>
      <c r="M111" s="219"/>
      <c r="N111" s="219"/>
      <c r="O111" s="219"/>
    </row>
    <row r="112" spans="2:15" x14ac:dyDescent="0.45">
      <c r="B112" s="167"/>
      <c r="C112" s="218"/>
      <c r="D112" s="223"/>
      <c r="E112" s="223"/>
      <c r="G112" s="219"/>
      <c r="H112" s="230"/>
      <c r="I112" s="230"/>
      <c r="J112" s="219"/>
      <c r="K112" s="219"/>
      <c r="L112" s="219"/>
      <c r="M112" s="219"/>
      <c r="N112" s="219"/>
      <c r="O112" s="219"/>
    </row>
    <row r="113" spans="2:15" x14ac:dyDescent="0.45">
      <c r="B113" s="167"/>
      <c r="C113" s="218"/>
      <c r="D113" s="223"/>
      <c r="E113" s="223"/>
      <c r="G113" s="219"/>
      <c r="H113" s="230"/>
      <c r="I113" s="230"/>
      <c r="J113" s="219"/>
      <c r="K113" s="219"/>
      <c r="L113" s="219"/>
      <c r="M113" s="219"/>
      <c r="N113" s="219"/>
      <c r="O113" s="219"/>
    </row>
    <row r="114" spans="2:15" x14ac:dyDescent="0.45">
      <c r="B114" s="167"/>
      <c r="C114" s="218"/>
      <c r="D114" s="223"/>
      <c r="E114" s="223"/>
      <c r="G114" s="219"/>
      <c r="H114" s="230"/>
      <c r="I114" s="230"/>
      <c r="J114" s="219"/>
      <c r="K114" s="219"/>
      <c r="L114" s="219"/>
      <c r="M114" s="219"/>
      <c r="N114" s="219"/>
      <c r="O114" s="219"/>
    </row>
    <row r="115" spans="2:15" x14ac:dyDescent="0.45">
      <c r="B115" s="167"/>
      <c r="C115" s="218"/>
      <c r="D115" s="223"/>
      <c r="E115" s="223"/>
      <c r="G115" s="219"/>
      <c r="H115" s="230"/>
      <c r="I115" s="230"/>
      <c r="J115" s="219"/>
      <c r="K115" s="219"/>
      <c r="L115" s="219"/>
      <c r="M115" s="219"/>
      <c r="N115" s="219"/>
      <c r="O115" s="219"/>
    </row>
    <row r="116" spans="2:15" x14ac:dyDescent="0.45">
      <c r="B116" s="167"/>
      <c r="C116" s="218"/>
      <c r="D116" s="223"/>
      <c r="E116" s="223"/>
      <c r="G116" s="219"/>
      <c r="H116" s="230"/>
      <c r="I116" s="230"/>
      <c r="J116" s="219"/>
      <c r="K116" s="219"/>
      <c r="L116" s="219"/>
      <c r="M116" s="219"/>
      <c r="N116" s="219"/>
      <c r="O116" s="219"/>
    </row>
    <row r="117" spans="2:15" x14ac:dyDescent="0.45">
      <c r="B117" s="167"/>
      <c r="C117" s="218"/>
      <c r="D117" s="223"/>
      <c r="E117" s="223"/>
      <c r="G117" s="219"/>
      <c r="H117" s="230"/>
      <c r="I117" s="230"/>
      <c r="J117" s="219"/>
      <c r="K117" s="219"/>
      <c r="L117" s="219"/>
      <c r="M117" s="219"/>
      <c r="N117" s="219"/>
      <c r="O117" s="219"/>
    </row>
    <row r="118" spans="2:15" x14ac:dyDescent="0.45">
      <c r="B118" s="167"/>
      <c r="C118" s="218"/>
      <c r="D118" s="223"/>
      <c r="E118" s="223"/>
      <c r="G118" s="219"/>
      <c r="H118" s="230"/>
      <c r="I118" s="230"/>
      <c r="J118" s="219"/>
      <c r="K118" s="219"/>
      <c r="L118" s="219"/>
      <c r="M118" s="219"/>
      <c r="N118" s="219"/>
      <c r="O118" s="219"/>
    </row>
    <row r="119" spans="2:15" x14ac:dyDescent="0.45">
      <c r="B119" s="167"/>
      <c r="C119" s="218"/>
      <c r="D119" s="223"/>
      <c r="E119" s="223"/>
      <c r="G119" s="219"/>
      <c r="H119" s="230"/>
      <c r="I119" s="230"/>
      <c r="J119" s="219"/>
      <c r="K119" s="219"/>
      <c r="L119" s="219"/>
      <c r="M119" s="219"/>
      <c r="N119" s="219"/>
      <c r="O119" s="219"/>
    </row>
    <row r="120" spans="2:15" x14ac:dyDescent="0.45">
      <c r="B120" s="167"/>
      <c r="C120" s="218"/>
      <c r="D120" s="223"/>
      <c r="E120" s="223"/>
      <c r="G120" s="219"/>
      <c r="H120" s="230"/>
      <c r="I120" s="230"/>
      <c r="J120" s="219"/>
      <c r="K120" s="219"/>
      <c r="L120" s="219"/>
      <c r="M120" s="219"/>
      <c r="N120" s="219"/>
      <c r="O120" s="219"/>
    </row>
    <row r="121" spans="2:15" x14ac:dyDescent="0.45">
      <c r="B121" s="167"/>
      <c r="C121" s="218"/>
      <c r="D121" s="223"/>
      <c r="E121" s="223"/>
      <c r="G121" s="219"/>
      <c r="H121" s="230"/>
      <c r="I121" s="230"/>
      <c r="J121" s="219"/>
      <c r="K121" s="219"/>
      <c r="L121" s="219"/>
      <c r="M121" s="219"/>
      <c r="N121" s="219"/>
      <c r="O121" s="219"/>
    </row>
    <row r="122" spans="2:15" x14ac:dyDescent="0.45">
      <c r="B122" s="167"/>
      <c r="C122" s="218"/>
      <c r="D122" s="223"/>
      <c r="E122" s="223"/>
      <c r="G122" s="219"/>
      <c r="H122" s="230"/>
      <c r="I122" s="230"/>
      <c r="J122" s="219"/>
      <c r="K122" s="219"/>
      <c r="L122" s="219"/>
      <c r="M122" s="219"/>
      <c r="N122" s="219"/>
      <c r="O122" s="219"/>
    </row>
    <row r="123" spans="2:15" x14ac:dyDescent="0.45">
      <c r="B123" s="167"/>
      <c r="C123" s="218"/>
      <c r="D123" s="223"/>
      <c r="E123" s="223"/>
      <c r="G123" s="219"/>
      <c r="H123" s="230"/>
      <c r="I123" s="230"/>
      <c r="J123" s="219"/>
      <c r="K123" s="219"/>
      <c r="L123" s="219"/>
      <c r="M123" s="219"/>
      <c r="N123" s="219"/>
      <c r="O123" s="219"/>
    </row>
    <row r="124" spans="2:15" x14ac:dyDescent="0.45">
      <c r="B124" s="167"/>
      <c r="C124" s="218"/>
      <c r="D124" s="223"/>
      <c r="E124" s="223"/>
      <c r="G124" s="219"/>
      <c r="H124" s="230"/>
      <c r="I124" s="230"/>
      <c r="J124" s="219"/>
      <c r="K124" s="219"/>
      <c r="L124" s="219"/>
      <c r="M124" s="219"/>
      <c r="N124" s="219"/>
      <c r="O124" s="219"/>
    </row>
    <row r="125" spans="2:15" x14ac:dyDescent="0.45">
      <c r="B125" s="167"/>
      <c r="C125" s="218"/>
      <c r="D125" s="223"/>
      <c r="E125" s="223"/>
      <c r="G125" s="219"/>
      <c r="H125" s="230"/>
      <c r="I125" s="230"/>
      <c r="J125" s="219"/>
      <c r="K125" s="219"/>
      <c r="L125" s="219"/>
      <c r="M125" s="219"/>
      <c r="N125" s="219"/>
      <c r="O125" s="219"/>
    </row>
    <row r="126" spans="2:15" x14ac:dyDescent="0.45">
      <c r="B126" s="167"/>
      <c r="C126" s="218"/>
      <c r="D126" s="223"/>
      <c r="E126" s="223"/>
      <c r="G126" s="219"/>
      <c r="H126" s="230"/>
      <c r="I126" s="230"/>
      <c r="J126" s="219"/>
      <c r="K126" s="219"/>
      <c r="L126" s="219"/>
      <c r="M126" s="219"/>
      <c r="N126" s="219"/>
      <c r="O126" s="219"/>
    </row>
    <row r="127" spans="2:15" x14ac:dyDescent="0.45">
      <c r="B127" s="167"/>
      <c r="C127" s="218"/>
      <c r="D127" s="223"/>
      <c r="E127" s="223"/>
      <c r="G127" s="219"/>
      <c r="H127" s="230"/>
      <c r="I127" s="230"/>
      <c r="J127" s="219"/>
      <c r="K127" s="219"/>
      <c r="L127" s="219"/>
      <c r="M127" s="219"/>
      <c r="N127" s="219"/>
      <c r="O127" s="219"/>
    </row>
    <row r="128" spans="2:15" x14ac:dyDescent="0.45">
      <c r="B128" s="167"/>
      <c r="C128" s="218"/>
      <c r="D128" s="223"/>
      <c r="E128" s="223"/>
      <c r="G128" s="219"/>
      <c r="H128" s="230"/>
      <c r="I128" s="230"/>
      <c r="J128" s="219"/>
      <c r="K128" s="219"/>
      <c r="L128" s="219"/>
      <c r="M128" s="219"/>
      <c r="N128" s="219"/>
      <c r="O128" s="219"/>
    </row>
    <row r="129" spans="2:15" x14ac:dyDescent="0.45">
      <c r="B129" s="167"/>
      <c r="C129" s="218"/>
      <c r="D129" s="223"/>
      <c r="E129" s="223"/>
      <c r="G129" s="219"/>
      <c r="H129" s="230"/>
      <c r="I129" s="230"/>
      <c r="J129" s="219"/>
      <c r="K129" s="219"/>
      <c r="L129" s="219"/>
      <c r="M129" s="219"/>
      <c r="N129" s="219"/>
      <c r="O129" s="219"/>
    </row>
    <row r="130" spans="2:15" x14ac:dyDescent="0.45">
      <c r="B130" s="167"/>
      <c r="C130" s="218"/>
      <c r="D130" s="223"/>
      <c r="E130" s="223"/>
      <c r="G130" s="219"/>
      <c r="H130" s="230"/>
      <c r="I130" s="230"/>
      <c r="J130" s="219"/>
      <c r="K130" s="219"/>
      <c r="L130" s="219"/>
      <c r="M130" s="219"/>
      <c r="N130" s="219"/>
      <c r="O130" s="219"/>
    </row>
    <row r="131" spans="2:15" x14ac:dyDescent="0.45">
      <c r="B131" s="167"/>
      <c r="C131" s="218"/>
      <c r="D131" s="223"/>
      <c r="E131" s="223"/>
      <c r="G131" s="219"/>
      <c r="H131" s="230"/>
      <c r="I131" s="230"/>
      <c r="J131" s="219"/>
      <c r="K131" s="219"/>
      <c r="L131" s="219"/>
      <c r="M131" s="219"/>
      <c r="N131" s="219"/>
      <c r="O131" s="219"/>
    </row>
    <row r="132" spans="2:15" x14ac:dyDescent="0.45">
      <c r="B132" s="167"/>
      <c r="C132" s="218"/>
      <c r="D132" s="223"/>
      <c r="E132" s="223"/>
      <c r="G132" s="219"/>
      <c r="H132" s="230"/>
      <c r="I132" s="230"/>
      <c r="J132" s="219"/>
      <c r="K132" s="219"/>
      <c r="L132" s="219"/>
      <c r="M132" s="219"/>
      <c r="N132" s="219"/>
      <c r="O132" s="219"/>
    </row>
    <row r="133" spans="2:15" x14ac:dyDescent="0.45">
      <c r="B133" s="167"/>
      <c r="C133" s="218"/>
      <c r="D133" s="223"/>
      <c r="E133" s="223"/>
      <c r="G133" s="219"/>
      <c r="H133" s="230"/>
      <c r="I133" s="230"/>
      <c r="J133" s="219"/>
      <c r="K133" s="219"/>
      <c r="L133" s="219"/>
      <c r="M133" s="219"/>
      <c r="N133" s="219"/>
      <c r="O133" s="219"/>
    </row>
    <row r="134" spans="2:15" x14ac:dyDescent="0.45">
      <c r="B134" s="167"/>
      <c r="C134" s="218"/>
      <c r="D134" s="223"/>
      <c r="E134" s="223"/>
      <c r="G134" s="219"/>
      <c r="H134" s="230"/>
      <c r="I134" s="230"/>
      <c r="J134" s="219"/>
      <c r="K134" s="219"/>
      <c r="L134" s="219"/>
      <c r="M134" s="219"/>
      <c r="N134" s="219"/>
      <c r="O134" s="219"/>
    </row>
    <row r="135" spans="2:15" x14ac:dyDescent="0.45">
      <c r="B135" s="167"/>
      <c r="C135" s="218"/>
      <c r="D135" s="223"/>
      <c r="E135" s="223"/>
      <c r="G135" s="219"/>
      <c r="H135" s="230"/>
      <c r="I135" s="230"/>
      <c r="J135" s="219"/>
      <c r="K135" s="219"/>
      <c r="L135" s="219"/>
      <c r="M135" s="219"/>
      <c r="N135" s="219"/>
      <c r="O135" s="219"/>
    </row>
    <row r="136" spans="2:15" x14ac:dyDescent="0.45">
      <c r="B136" s="167"/>
      <c r="C136" s="218"/>
      <c r="D136" s="223"/>
      <c r="E136" s="223"/>
      <c r="G136" s="219"/>
      <c r="H136" s="230"/>
      <c r="I136" s="230"/>
      <c r="J136" s="219"/>
      <c r="K136" s="219"/>
      <c r="L136" s="219"/>
      <c r="M136" s="219"/>
      <c r="N136" s="219"/>
      <c r="O136" s="219"/>
    </row>
    <row r="137" spans="2:15" x14ac:dyDescent="0.45">
      <c r="B137" s="167"/>
      <c r="C137" s="218"/>
      <c r="D137" s="223"/>
      <c r="E137" s="223"/>
      <c r="G137" s="219"/>
      <c r="H137" s="230"/>
      <c r="I137" s="230"/>
      <c r="J137" s="219"/>
      <c r="K137" s="219"/>
      <c r="L137" s="219"/>
      <c r="M137" s="219"/>
      <c r="N137" s="219"/>
      <c r="O137" s="219"/>
    </row>
    <row r="138" spans="2:15" x14ac:dyDescent="0.45">
      <c r="B138" s="167"/>
      <c r="C138" s="218"/>
      <c r="D138" s="223"/>
      <c r="E138" s="223"/>
      <c r="G138" s="219"/>
      <c r="H138" s="230"/>
      <c r="I138" s="230"/>
      <c r="J138" s="219"/>
      <c r="K138" s="219"/>
      <c r="L138" s="219"/>
      <c r="M138" s="219"/>
      <c r="N138" s="219"/>
      <c r="O138" s="219"/>
    </row>
    <row r="139" spans="2:15" x14ac:dyDescent="0.45">
      <c r="B139" s="167"/>
      <c r="C139" s="218"/>
      <c r="D139" s="223"/>
      <c r="E139" s="223"/>
      <c r="G139" s="219"/>
      <c r="H139" s="230"/>
      <c r="I139" s="230"/>
      <c r="J139" s="219"/>
      <c r="K139" s="219"/>
      <c r="L139" s="219"/>
      <c r="M139" s="219"/>
      <c r="N139" s="219"/>
      <c r="O139" s="219"/>
    </row>
    <row r="140" spans="2:15" x14ac:dyDescent="0.45">
      <c r="B140" s="167"/>
      <c r="C140" s="218"/>
      <c r="D140" s="223"/>
      <c r="E140" s="223"/>
      <c r="G140" s="219"/>
      <c r="H140" s="230"/>
      <c r="I140" s="230"/>
      <c r="J140" s="219"/>
      <c r="K140" s="219"/>
      <c r="L140" s="219"/>
      <c r="M140" s="219"/>
      <c r="N140" s="219"/>
      <c r="O140" s="219"/>
    </row>
    <row r="141" spans="2:15" x14ac:dyDescent="0.45">
      <c r="B141" s="167"/>
      <c r="C141" s="218"/>
      <c r="D141" s="223"/>
      <c r="E141" s="223"/>
      <c r="G141" s="219"/>
      <c r="H141" s="230"/>
      <c r="I141" s="230"/>
      <c r="J141" s="219"/>
      <c r="K141" s="219"/>
      <c r="L141" s="219"/>
      <c r="M141" s="219"/>
      <c r="N141" s="219"/>
      <c r="O141" s="219"/>
    </row>
    <row r="142" spans="2:15" x14ac:dyDescent="0.45">
      <c r="B142" s="167"/>
      <c r="C142" s="218"/>
      <c r="D142" s="223"/>
      <c r="E142" s="223"/>
      <c r="G142" s="219"/>
      <c r="H142" s="230"/>
      <c r="I142" s="230"/>
      <c r="J142" s="219"/>
      <c r="K142" s="219"/>
      <c r="L142" s="219"/>
      <c r="M142" s="219"/>
      <c r="N142" s="219"/>
      <c r="O142" s="219"/>
    </row>
    <row r="143" spans="2:15" x14ac:dyDescent="0.45">
      <c r="B143" s="167"/>
      <c r="C143" s="218"/>
      <c r="D143" s="223"/>
      <c r="E143" s="223"/>
      <c r="G143" s="219"/>
      <c r="H143" s="230"/>
      <c r="I143" s="230"/>
      <c r="J143" s="219"/>
      <c r="K143" s="219"/>
      <c r="L143" s="219"/>
      <c r="M143" s="219"/>
      <c r="N143" s="219"/>
      <c r="O143" s="219"/>
    </row>
    <row r="144" spans="2:15" x14ac:dyDescent="0.45">
      <c r="B144" s="167"/>
      <c r="C144" s="218"/>
      <c r="D144" s="223"/>
      <c r="E144" s="223"/>
      <c r="G144" s="219"/>
      <c r="H144" s="230"/>
      <c r="I144" s="230"/>
      <c r="J144" s="219"/>
      <c r="K144" s="219"/>
      <c r="L144" s="219"/>
      <c r="M144" s="219"/>
      <c r="N144" s="219"/>
      <c r="O144" s="219"/>
    </row>
    <row r="145" spans="2:15" x14ac:dyDescent="0.45">
      <c r="B145" s="167"/>
      <c r="C145" s="218"/>
      <c r="D145" s="223"/>
      <c r="E145" s="223"/>
      <c r="G145" s="219"/>
      <c r="H145" s="230"/>
      <c r="I145" s="230"/>
      <c r="J145" s="219"/>
      <c r="K145" s="219"/>
      <c r="L145" s="219"/>
      <c r="M145" s="219"/>
      <c r="N145" s="219"/>
      <c r="O145" s="219"/>
    </row>
    <row r="146" spans="2:15" x14ac:dyDescent="0.45">
      <c r="B146" s="167"/>
      <c r="C146" s="218"/>
      <c r="D146" s="223"/>
      <c r="E146" s="223"/>
      <c r="G146" s="219"/>
      <c r="H146" s="230"/>
      <c r="I146" s="230"/>
      <c r="J146" s="219"/>
      <c r="K146" s="219"/>
      <c r="L146" s="219"/>
      <c r="M146" s="219"/>
      <c r="N146" s="219"/>
      <c r="O146" s="219"/>
    </row>
    <row r="147" spans="2:15" x14ac:dyDescent="0.45">
      <c r="B147" s="167"/>
      <c r="C147" s="218"/>
      <c r="D147" s="223"/>
      <c r="E147" s="223"/>
      <c r="G147" s="219"/>
      <c r="H147" s="230"/>
      <c r="I147" s="230"/>
      <c r="J147" s="219"/>
      <c r="K147" s="219"/>
      <c r="L147" s="219"/>
      <c r="M147" s="219"/>
      <c r="N147" s="219"/>
      <c r="O147" s="219"/>
    </row>
    <row r="148" spans="2:15" x14ac:dyDescent="0.45">
      <c r="B148" s="167"/>
      <c r="C148" s="218"/>
      <c r="D148" s="223"/>
      <c r="E148" s="223"/>
      <c r="G148" s="219"/>
      <c r="H148" s="230"/>
      <c r="I148" s="230"/>
      <c r="J148" s="219"/>
      <c r="K148" s="219"/>
      <c r="L148" s="219"/>
      <c r="M148" s="219"/>
      <c r="N148" s="219"/>
      <c r="O148" s="219"/>
    </row>
    <row r="149" spans="2:15" x14ac:dyDescent="0.45">
      <c r="B149" s="167"/>
      <c r="C149" s="218"/>
      <c r="D149" s="223"/>
      <c r="E149" s="223"/>
      <c r="G149" s="219"/>
      <c r="H149" s="230"/>
      <c r="I149" s="230"/>
      <c r="J149" s="219"/>
      <c r="K149" s="219"/>
      <c r="L149" s="219"/>
      <c r="M149" s="219"/>
      <c r="N149" s="219"/>
      <c r="O149" s="219"/>
    </row>
    <row r="150" spans="2:15" x14ac:dyDescent="0.45">
      <c r="B150" s="167"/>
      <c r="C150" s="218"/>
      <c r="D150" s="223"/>
      <c r="E150" s="223"/>
      <c r="G150" s="219"/>
      <c r="H150" s="230"/>
      <c r="I150" s="230"/>
      <c r="J150" s="219"/>
      <c r="K150" s="219"/>
      <c r="L150" s="219"/>
      <c r="M150" s="219"/>
      <c r="N150" s="219"/>
      <c r="O150" s="219"/>
    </row>
    <row r="151" spans="2:15" x14ac:dyDescent="0.45">
      <c r="B151" s="167"/>
      <c r="C151" s="218"/>
      <c r="D151" s="223"/>
      <c r="E151" s="223"/>
      <c r="G151" s="219"/>
      <c r="H151" s="230"/>
      <c r="I151" s="230"/>
      <c r="J151" s="219"/>
      <c r="K151" s="219"/>
      <c r="L151" s="219"/>
      <c r="M151" s="219"/>
      <c r="N151" s="219"/>
      <c r="O151" s="219"/>
    </row>
    <row r="152" spans="2:15" x14ac:dyDescent="0.45">
      <c r="B152" s="167"/>
      <c r="C152" s="218"/>
      <c r="D152" s="223"/>
      <c r="E152" s="223"/>
      <c r="G152" s="219"/>
      <c r="H152" s="230"/>
      <c r="I152" s="230"/>
      <c r="J152" s="219"/>
      <c r="K152" s="219"/>
      <c r="L152" s="219"/>
      <c r="M152" s="219"/>
      <c r="N152" s="219"/>
      <c r="O152" s="219"/>
    </row>
    <row r="153" spans="2:15" x14ac:dyDescent="0.45">
      <c r="B153" s="167"/>
      <c r="C153" s="218"/>
      <c r="D153" s="223"/>
      <c r="E153" s="223"/>
      <c r="G153" s="219"/>
      <c r="H153" s="230"/>
      <c r="I153" s="230"/>
      <c r="J153" s="219"/>
      <c r="K153" s="219"/>
      <c r="L153" s="219"/>
      <c r="M153" s="219"/>
      <c r="N153" s="219"/>
      <c r="O153" s="219"/>
    </row>
    <row r="154" spans="2:15" x14ac:dyDescent="0.45">
      <c r="B154" s="167"/>
      <c r="C154" s="218"/>
      <c r="D154" s="223"/>
      <c r="E154" s="223"/>
      <c r="G154" s="219"/>
      <c r="H154" s="230"/>
      <c r="I154" s="230"/>
      <c r="J154" s="219"/>
      <c r="K154" s="219"/>
      <c r="L154" s="219"/>
      <c r="M154" s="219"/>
      <c r="N154" s="219"/>
      <c r="O154" s="219"/>
    </row>
    <row r="155" spans="2:15" x14ac:dyDescent="0.45">
      <c r="B155" s="167"/>
      <c r="C155" s="218"/>
      <c r="D155" s="223"/>
      <c r="E155" s="223"/>
      <c r="G155" s="219"/>
      <c r="H155" s="230"/>
      <c r="I155" s="230"/>
      <c r="J155" s="219"/>
      <c r="K155" s="219"/>
      <c r="L155" s="219"/>
      <c r="M155" s="219"/>
      <c r="N155" s="219"/>
      <c r="O155" s="219"/>
    </row>
    <row r="156" spans="2:15" x14ac:dyDescent="0.45">
      <c r="B156" s="167"/>
      <c r="C156" s="218"/>
      <c r="D156" s="223"/>
      <c r="E156" s="223"/>
      <c r="G156" s="219"/>
      <c r="H156" s="230"/>
      <c r="I156" s="230"/>
      <c r="J156" s="219"/>
      <c r="K156" s="219"/>
      <c r="L156" s="219"/>
      <c r="M156" s="219"/>
      <c r="N156" s="219"/>
      <c r="O156" s="219"/>
    </row>
    <row r="157" spans="2:15" x14ac:dyDescent="0.45">
      <c r="B157" s="167"/>
      <c r="C157" s="218"/>
      <c r="D157" s="223"/>
      <c r="E157" s="223"/>
      <c r="G157" s="219"/>
      <c r="H157" s="230"/>
      <c r="I157" s="230"/>
      <c r="J157" s="219"/>
      <c r="K157" s="219"/>
      <c r="L157" s="219"/>
      <c r="M157" s="219"/>
      <c r="N157" s="219"/>
      <c r="O157" s="219"/>
    </row>
    <row r="158" spans="2:15" x14ac:dyDescent="0.45">
      <c r="B158" s="167"/>
      <c r="C158" s="218"/>
      <c r="D158" s="223"/>
      <c r="E158" s="223"/>
      <c r="G158" s="219"/>
      <c r="H158" s="230"/>
      <c r="I158" s="230"/>
      <c r="J158" s="219"/>
      <c r="K158" s="219"/>
      <c r="L158" s="219"/>
      <c r="M158" s="219"/>
      <c r="N158" s="219"/>
      <c r="O158" s="219"/>
    </row>
    <row r="159" spans="2:15" x14ac:dyDescent="0.45">
      <c r="B159" s="167"/>
      <c r="C159" s="218"/>
      <c r="D159" s="223"/>
      <c r="E159" s="223"/>
      <c r="G159" s="219"/>
      <c r="H159" s="230"/>
      <c r="I159" s="230"/>
      <c r="J159" s="219"/>
      <c r="K159" s="219"/>
      <c r="L159" s="219"/>
      <c r="M159" s="219"/>
      <c r="N159" s="219"/>
      <c r="O159" s="219"/>
    </row>
    <row r="160" spans="2:15" x14ac:dyDescent="0.45">
      <c r="B160" s="167"/>
      <c r="C160" s="218"/>
      <c r="D160" s="223"/>
      <c r="E160" s="223"/>
      <c r="G160" s="219"/>
      <c r="H160" s="230"/>
      <c r="I160" s="230"/>
      <c r="J160" s="219"/>
      <c r="K160" s="219"/>
      <c r="L160" s="219"/>
      <c r="M160" s="219"/>
      <c r="N160" s="219"/>
      <c r="O160" s="219"/>
    </row>
    <row r="161" spans="2:15" x14ac:dyDescent="0.45">
      <c r="B161" s="167"/>
      <c r="C161" s="218"/>
      <c r="D161" s="223"/>
      <c r="E161" s="223"/>
      <c r="G161" s="219"/>
      <c r="H161" s="230"/>
      <c r="I161" s="230"/>
      <c r="J161" s="219"/>
      <c r="K161" s="219"/>
      <c r="L161" s="219"/>
      <c r="M161" s="219"/>
      <c r="N161" s="219"/>
      <c r="O161" s="219"/>
    </row>
    <row r="162" spans="2:15" x14ac:dyDescent="0.45">
      <c r="B162" s="167"/>
      <c r="C162" s="218"/>
      <c r="D162" s="223"/>
      <c r="E162" s="223"/>
      <c r="G162" s="219"/>
      <c r="H162" s="230"/>
      <c r="I162" s="230"/>
      <c r="J162" s="219"/>
      <c r="K162" s="219"/>
      <c r="L162" s="219"/>
      <c r="M162" s="219"/>
      <c r="N162" s="219"/>
      <c r="O162" s="219"/>
    </row>
    <row r="163" spans="2:15" x14ac:dyDescent="0.45">
      <c r="B163" s="167"/>
      <c r="C163" s="218"/>
      <c r="D163" s="223"/>
      <c r="E163" s="223"/>
      <c r="G163" s="219"/>
      <c r="H163" s="230"/>
      <c r="I163" s="230"/>
      <c r="J163" s="219"/>
      <c r="K163" s="219"/>
      <c r="L163" s="219"/>
      <c r="M163" s="219"/>
      <c r="N163" s="219"/>
      <c r="O163" s="219"/>
    </row>
    <row r="164" spans="2:15" x14ac:dyDescent="0.45">
      <c r="B164" s="167"/>
      <c r="C164" s="218"/>
      <c r="D164" s="223"/>
      <c r="E164" s="223"/>
      <c r="G164" s="219"/>
      <c r="H164" s="230"/>
      <c r="I164" s="230"/>
      <c r="J164" s="219"/>
      <c r="K164" s="219"/>
      <c r="L164" s="219"/>
      <c r="M164" s="219"/>
      <c r="N164" s="219"/>
      <c r="O164" s="219"/>
    </row>
    <row r="165" spans="2:15" x14ac:dyDescent="0.45">
      <c r="B165" s="167"/>
      <c r="C165" s="218"/>
      <c r="D165" s="223"/>
      <c r="E165" s="223"/>
      <c r="G165" s="219"/>
      <c r="H165" s="230"/>
      <c r="I165" s="230"/>
      <c r="J165" s="219"/>
      <c r="K165" s="219"/>
      <c r="L165" s="219"/>
      <c r="M165" s="219"/>
      <c r="N165" s="219"/>
      <c r="O165" s="219"/>
    </row>
    <row r="166" spans="2:15" x14ac:dyDescent="0.45">
      <c r="B166" s="167"/>
      <c r="C166" s="218"/>
      <c r="D166" s="223"/>
      <c r="E166" s="223"/>
      <c r="G166" s="219"/>
      <c r="H166" s="230"/>
      <c r="I166" s="230"/>
      <c r="J166" s="219"/>
      <c r="K166" s="219"/>
      <c r="L166" s="219"/>
      <c r="M166" s="219"/>
      <c r="N166" s="219"/>
      <c r="O166" s="219"/>
    </row>
    <row r="167" spans="2:15" x14ac:dyDescent="0.45">
      <c r="B167" s="167"/>
      <c r="C167" s="218"/>
      <c r="D167" s="223"/>
      <c r="E167" s="223"/>
      <c r="G167" s="219"/>
      <c r="H167" s="230"/>
      <c r="I167" s="230"/>
      <c r="J167" s="219"/>
      <c r="K167" s="219"/>
      <c r="L167" s="219"/>
      <c r="M167" s="219"/>
      <c r="N167" s="219"/>
      <c r="O167" s="219"/>
    </row>
    <row r="168" spans="2:15" x14ac:dyDescent="0.45">
      <c r="B168" s="167"/>
      <c r="C168" s="218"/>
      <c r="D168" s="223"/>
      <c r="E168" s="223"/>
      <c r="G168" s="219"/>
      <c r="H168" s="230"/>
      <c r="I168" s="230"/>
      <c r="J168" s="219"/>
      <c r="K168" s="219"/>
      <c r="L168" s="219"/>
      <c r="M168" s="219"/>
      <c r="N168" s="219"/>
      <c r="O168" s="219"/>
    </row>
    <row r="169" spans="2:15" x14ac:dyDescent="0.45">
      <c r="B169" s="167"/>
      <c r="C169" s="218"/>
      <c r="D169" s="223"/>
      <c r="E169" s="223"/>
      <c r="G169" s="219"/>
      <c r="H169" s="230"/>
      <c r="I169" s="230"/>
      <c r="J169" s="219"/>
      <c r="K169" s="219"/>
      <c r="L169" s="219"/>
      <c r="M169" s="219"/>
      <c r="N169" s="219"/>
      <c r="O169" s="219"/>
    </row>
    <row r="170" spans="2:15" x14ac:dyDescent="0.45">
      <c r="B170" s="167"/>
      <c r="C170" s="218"/>
      <c r="D170" s="223"/>
      <c r="E170" s="223"/>
      <c r="G170" s="219"/>
      <c r="H170" s="230"/>
      <c r="I170" s="230"/>
      <c r="J170" s="219"/>
      <c r="K170" s="219"/>
      <c r="L170" s="219"/>
      <c r="M170" s="219"/>
      <c r="N170" s="219"/>
      <c r="O170" s="219"/>
    </row>
    <row r="171" spans="2:15" x14ac:dyDescent="0.45">
      <c r="B171" s="167"/>
      <c r="C171" s="218"/>
      <c r="D171" s="223"/>
      <c r="E171" s="223"/>
      <c r="G171" s="219"/>
      <c r="H171" s="230"/>
      <c r="I171" s="230"/>
      <c r="J171" s="219"/>
      <c r="K171" s="219"/>
      <c r="L171" s="219"/>
      <c r="M171" s="219"/>
      <c r="N171" s="219"/>
      <c r="O171" s="219"/>
    </row>
    <row r="172" spans="2:15" x14ac:dyDescent="0.45">
      <c r="B172" s="167"/>
      <c r="C172" s="218"/>
      <c r="D172" s="223"/>
      <c r="E172" s="223"/>
      <c r="G172" s="219"/>
      <c r="H172" s="230"/>
      <c r="I172" s="230"/>
      <c r="J172" s="219"/>
      <c r="K172" s="219"/>
      <c r="L172" s="219"/>
      <c r="M172" s="219"/>
      <c r="N172" s="219"/>
      <c r="O172" s="219"/>
    </row>
    <row r="173" spans="2:15" x14ac:dyDescent="0.45">
      <c r="B173" s="167"/>
      <c r="C173" s="218"/>
      <c r="D173" s="223"/>
      <c r="E173" s="223"/>
      <c r="G173" s="219"/>
      <c r="H173" s="230"/>
      <c r="I173" s="230"/>
      <c r="J173" s="219"/>
      <c r="K173" s="219"/>
      <c r="L173" s="219"/>
      <c r="M173" s="219"/>
      <c r="N173" s="219"/>
      <c r="O173" s="219"/>
    </row>
    <row r="174" spans="2:15" x14ac:dyDescent="0.45">
      <c r="B174" s="167"/>
      <c r="C174" s="218"/>
      <c r="D174" s="223"/>
      <c r="E174" s="223"/>
      <c r="G174" s="219"/>
      <c r="H174" s="230"/>
      <c r="I174" s="230"/>
      <c r="J174" s="219"/>
      <c r="K174" s="219"/>
      <c r="L174" s="219"/>
      <c r="M174" s="219"/>
      <c r="N174" s="219"/>
      <c r="O174" s="219"/>
    </row>
    <row r="175" spans="2:15" x14ac:dyDescent="0.45">
      <c r="B175" s="167"/>
      <c r="C175" s="218"/>
      <c r="D175" s="223"/>
      <c r="E175" s="223"/>
      <c r="G175" s="219"/>
      <c r="H175" s="230"/>
      <c r="I175" s="230"/>
      <c r="J175" s="219"/>
      <c r="K175" s="219"/>
      <c r="L175" s="219"/>
      <c r="M175" s="219"/>
      <c r="N175" s="219"/>
      <c r="O175" s="219"/>
    </row>
  </sheetData>
  <sheetProtection password="DA43" sheet="1" objects="1" scenarios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setSheet2" altText="Reset Form">
                <anchor moveWithCells="1" sizeWithCells="1">
                  <from>
                    <xdr:col>6</xdr:col>
                    <xdr:colOff>376238</xdr:colOff>
                    <xdr:row>2</xdr:row>
                    <xdr:rowOff>76200</xdr:rowOff>
                  </from>
                  <to>
                    <xdr:col>6</xdr:col>
                    <xdr:colOff>1185863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J47"/>
  <sheetViews>
    <sheetView showGridLines="0" showRowColHeaders="0" zoomScale="90" zoomScaleNormal="90" workbookViewId="0">
      <pane ySplit="6" topLeftCell="A7" activePane="bottomLeft" state="frozen"/>
      <selection activeCell="A3" sqref="A3"/>
      <selection pane="bottomLeft" activeCell="F41" sqref="F41"/>
    </sheetView>
  </sheetViews>
  <sheetFormatPr defaultRowHeight="14.25" x14ac:dyDescent="0.45"/>
  <cols>
    <col min="1" max="1" width="1.9296875" style="122" customWidth="1"/>
    <col min="2" max="2" width="5.9296875" style="122" customWidth="1"/>
    <col min="3" max="3" width="12.9296875" style="122" customWidth="1"/>
    <col min="4" max="4" width="16.59765625" style="122" customWidth="1"/>
    <col min="5" max="5" width="18.19921875" style="122" customWidth="1"/>
    <col min="6" max="6" width="147.3984375" style="122" customWidth="1"/>
    <col min="7" max="7" width="6.59765625" style="122" hidden="1" customWidth="1"/>
    <col min="8" max="8" width="13.19921875" style="122" hidden="1" customWidth="1"/>
    <col min="9" max="9" width="27.59765625" style="122" hidden="1" customWidth="1"/>
    <col min="10" max="10" width="11.06640625" style="122" hidden="1" customWidth="1"/>
    <col min="11" max="16384" width="9.06640625" style="122"/>
  </cols>
  <sheetData>
    <row r="1" spans="1:10" ht="14.65" thickBot="1" x14ac:dyDescent="0.5">
      <c r="A1" s="116"/>
      <c r="B1" s="117"/>
      <c r="C1" s="118" t="s">
        <v>325</v>
      </c>
      <c r="D1" s="119"/>
      <c r="E1" s="119"/>
      <c r="F1" s="120"/>
      <c r="G1" s="120"/>
      <c r="H1" s="210"/>
      <c r="I1" s="116"/>
      <c r="J1" s="121"/>
    </row>
    <row r="2" spans="1:10" ht="18.399999999999999" thickBot="1" x14ac:dyDescent="0.6">
      <c r="A2" s="116"/>
      <c r="B2" s="123"/>
      <c r="C2" s="124" t="s">
        <v>323</v>
      </c>
      <c r="D2" s="116"/>
      <c r="E2" s="116"/>
      <c r="F2" s="125" t="s">
        <v>415</v>
      </c>
      <c r="G2" s="125"/>
      <c r="H2" s="210"/>
      <c r="I2" s="116"/>
      <c r="J2" s="121"/>
    </row>
    <row r="3" spans="1:10" ht="16.149999999999999" thickBot="1" x14ac:dyDescent="0.55000000000000004">
      <c r="A3" s="116"/>
      <c r="B3" s="123"/>
      <c r="C3" s="126" t="s">
        <v>324</v>
      </c>
      <c r="D3" s="127"/>
      <c r="E3" s="127"/>
      <c r="F3" s="128" t="s">
        <v>370</v>
      </c>
      <c r="G3" s="128"/>
      <c r="H3" s="210"/>
      <c r="I3" s="116"/>
      <c r="J3" s="121"/>
    </row>
    <row r="4" spans="1:10" ht="14.65" thickBot="1" x14ac:dyDescent="0.5">
      <c r="A4" s="116"/>
      <c r="B4" s="123"/>
      <c r="C4" s="129" t="s">
        <v>322</v>
      </c>
      <c r="D4" s="260"/>
      <c r="E4" s="116"/>
      <c r="F4" s="130"/>
      <c r="G4" s="130"/>
      <c r="H4" s="210"/>
      <c r="I4" s="116"/>
      <c r="J4" s="121"/>
    </row>
    <row r="5" spans="1:10" ht="14.65" thickBot="1" x14ac:dyDescent="0.5">
      <c r="A5" s="116"/>
      <c r="B5" s="117"/>
      <c r="C5" s="261">
        <f>General!I4</f>
        <v>2018</v>
      </c>
      <c r="D5" s="119"/>
      <c r="E5" s="119"/>
      <c r="F5" s="120"/>
      <c r="G5" s="120"/>
      <c r="H5" s="210"/>
      <c r="I5" s="116"/>
      <c r="J5" s="121"/>
    </row>
    <row r="6" spans="1:10" s="312" customFormat="1" ht="29.25" thickTop="1" thickBot="1" x14ac:dyDescent="0.5">
      <c r="A6" s="313"/>
      <c r="B6" s="318" t="s">
        <v>214</v>
      </c>
      <c r="C6" s="319" t="s">
        <v>215</v>
      </c>
      <c r="D6" s="342" t="s">
        <v>369</v>
      </c>
      <c r="E6" s="343" t="s">
        <v>166</v>
      </c>
      <c r="F6" s="321" t="s">
        <v>100</v>
      </c>
      <c r="G6" s="344"/>
      <c r="H6" s="314" t="s">
        <v>224</v>
      </c>
      <c r="I6" s="314" t="s">
        <v>223</v>
      </c>
      <c r="J6" s="317" t="s">
        <v>222</v>
      </c>
    </row>
    <row r="7" spans="1:10" ht="16.05" customHeight="1" thickTop="1" thickBot="1" x14ac:dyDescent="0.5">
      <c r="B7" s="117">
        <v>1</v>
      </c>
      <c r="C7" s="264"/>
      <c r="D7" s="326" t="s">
        <v>363</v>
      </c>
      <c r="E7" s="327" t="s">
        <v>296</v>
      </c>
      <c r="F7" s="328" t="s">
        <v>424</v>
      </c>
      <c r="G7" s="163"/>
      <c r="H7" s="131" t="s">
        <v>178</v>
      </c>
      <c r="I7" s="132" t="s">
        <v>29</v>
      </c>
      <c r="J7" s="133" t="str">
        <f>IF(C7="Yes",H7,H8)</f>
        <v>No</v>
      </c>
    </row>
    <row r="8" spans="1:10" ht="16.05" customHeight="1" thickBot="1" x14ac:dyDescent="0.5">
      <c r="B8" s="117">
        <v>2</v>
      </c>
      <c r="C8" s="264"/>
      <c r="D8" s="329" t="s">
        <v>363</v>
      </c>
      <c r="E8" s="330" t="s">
        <v>296</v>
      </c>
      <c r="F8" s="331" t="s">
        <v>425</v>
      </c>
      <c r="G8" s="163"/>
      <c r="H8" s="134" t="s">
        <v>179</v>
      </c>
      <c r="I8" s="135" t="s">
        <v>30</v>
      </c>
      <c r="J8" s="136" t="str">
        <f>IF(C7="No",H8,H7)</f>
        <v>Yes</v>
      </c>
    </row>
    <row r="9" spans="1:10" ht="16.05" customHeight="1" thickTop="1" thickBot="1" x14ac:dyDescent="0.5">
      <c r="B9" s="117">
        <v>3</v>
      </c>
      <c r="C9" s="264"/>
      <c r="D9" s="329" t="s">
        <v>363</v>
      </c>
      <c r="E9" s="330" t="s">
        <v>296</v>
      </c>
      <c r="F9" s="331" t="s">
        <v>426</v>
      </c>
      <c r="G9" s="163"/>
      <c r="H9" s="131" t="s">
        <v>178</v>
      </c>
      <c r="I9" s="132" t="s">
        <v>31</v>
      </c>
      <c r="J9" s="133" t="str">
        <f>IF(C8="Yes",H9,H10)</f>
        <v>No</v>
      </c>
    </row>
    <row r="10" spans="1:10" ht="16.05" customHeight="1" thickBot="1" x14ac:dyDescent="0.5">
      <c r="B10" s="117">
        <v>4</v>
      </c>
      <c r="C10" s="265"/>
      <c r="D10" s="330" t="s">
        <v>368</v>
      </c>
      <c r="E10" s="330"/>
      <c r="F10" s="331" t="s">
        <v>427</v>
      </c>
      <c r="G10" s="163"/>
      <c r="H10" s="134" t="s">
        <v>179</v>
      </c>
      <c r="I10" s="135" t="s">
        <v>32</v>
      </c>
      <c r="J10" s="136" t="str">
        <f>IF(C8="No",H10,H9)</f>
        <v>Yes</v>
      </c>
    </row>
    <row r="11" spans="1:10" ht="16.05" customHeight="1" thickTop="1" thickBot="1" x14ac:dyDescent="0.5">
      <c r="B11" s="117">
        <v>5</v>
      </c>
      <c r="C11" s="264"/>
      <c r="D11" s="329" t="s">
        <v>363</v>
      </c>
      <c r="E11" s="330" t="s">
        <v>296</v>
      </c>
      <c r="F11" s="331" t="s">
        <v>428</v>
      </c>
      <c r="G11" s="163"/>
      <c r="H11" s="131" t="s">
        <v>178</v>
      </c>
      <c r="I11" s="132" t="s">
        <v>33</v>
      </c>
      <c r="J11" s="133" t="str">
        <f>IF(C9="Yes",H11,H12)</f>
        <v>No</v>
      </c>
    </row>
    <row r="12" spans="1:10" ht="16.05" customHeight="1" thickBot="1" x14ac:dyDescent="0.5">
      <c r="B12" s="117">
        <v>6</v>
      </c>
      <c r="C12" s="266"/>
      <c r="D12" s="330" t="s">
        <v>368</v>
      </c>
      <c r="E12" s="330"/>
      <c r="F12" s="331" t="s">
        <v>429</v>
      </c>
      <c r="G12" s="163"/>
      <c r="H12" s="134" t="s">
        <v>179</v>
      </c>
      <c r="I12" s="135" t="s">
        <v>34</v>
      </c>
      <c r="J12" s="136" t="str">
        <f>IF(C9="No",H12,H11)</f>
        <v>Yes</v>
      </c>
    </row>
    <row r="13" spans="1:10" ht="16.05" customHeight="1" thickBot="1" x14ac:dyDescent="0.5">
      <c r="B13" s="117">
        <v>7</v>
      </c>
      <c r="C13" s="267"/>
      <c r="D13" s="330" t="s">
        <v>368</v>
      </c>
      <c r="E13" s="330" t="s">
        <v>326</v>
      </c>
      <c r="F13" s="331" t="s">
        <v>430</v>
      </c>
      <c r="G13" s="163"/>
      <c r="H13" s="137"/>
      <c r="I13" s="138" t="s">
        <v>35</v>
      </c>
      <c r="J13" s="139" t="str">
        <f>UPPER(IF(C10="","",C10))</f>
        <v/>
      </c>
    </row>
    <row r="14" spans="1:10" ht="16.05" customHeight="1" thickTop="1" thickBot="1" x14ac:dyDescent="0.5">
      <c r="B14" s="117">
        <v>8</v>
      </c>
      <c r="C14" s="268"/>
      <c r="D14" s="330" t="s">
        <v>368</v>
      </c>
      <c r="E14" s="330" t="s">
        <v>181</v>
      </c>
      <c r="F14" s="331" t="s">
        <v>431</v>
      </c>
      <c r="G14" s="163"/>
      <c r="H14" s="140" t="s">
        <v>178</v>
      </c>
      <c r="I14" s="132" t="s">
        <v>36</v>
      </c>
      <c r="J14" s="133" t="str">
        <f>IF(C11="Yes",H14,H15)</f>
        <v>No</v>
      </c>
    </row>
    <row r="15" spans="1:10" ht="16.05" customHeight="1" thickBot="1" x14ac:dyDescent="0.5">
      <c r="B15" s="117">
        <v>9</v>
      </c>
      <c r="C15" s="268"/>
      <c r="D15" s="330" t="s">
        <v>368</v>
      </c>
      <c r="E15" s="330" t="s">
        <v>181</v>
      </c>
      <c r="F15" s="331" t="s">
        <v>432</v>
      </c>
      <c r="G15" s="163"/>
      <c r="H15" s="141" t="s">
        <v>179</v>
      </c>
      <c r="I15" s="135" t="s">
        <v>37</v>
      </c>
      <c r="J15" s="136" t="str">
        <f>IF(C11="No",H15,H14)</f>
        <v>Yes</v>
      </c>
    </row>
    <row r="16" spans="1:10" ht="16.05" customHeight="1" thickBot="1" x14ac:dyDescent="0.5">
      <c r="B16" s="117">
        <v>10</v>
      </c>
      <c r="C16" s="268"/>
      <c r="D16" s="330" t="s">
        <v>368</v>
      </c>
      <c r="E16" s="330" t="s">
        <v>181</v>
      </c>
      <c r="F16" s="331" t="s">
        <v>433</v>
      </c>
      <c r="G16" s="163"/>
      <c r="H16" s="137"/>
      <c r="I16" s="142" t="s">
        <v>38</v>
      </c>
      <c r="J16" s="139" t="str">
        <f>UPPER(IF(C12="","",C12))</f>
        <v/>
      </c>
    </row>
    <row r="17" spans="2:10" ht="16.05" customHeight="1" thickTop="1" thickBot="1" x14ac:dyDescent="0.5">
      <c r="B17" s="117">
        <v>11</v>
      </c>
      <c r="C17" s="268"/>
      <c r="D17" s="330" t="s">
        <v>368</v>
      </c>
      <c r="E17" s="330" t="s">
        <v>181</v>
      </c>
      <c r="F17" s="331" t="s">
        <v>434</v>
      </c>
      <c r="G17" s="163"/>
      <c r="H17" s="140" t="s">
        <v>179</v>
      </c>
      <c r="I17" s="132" t="s">
        <v>39</v>
      </c>
      <c r="J17" s="133" t="str">
        <f>IF(C13="Canada",H17,"")</f>
        <v/>
      </c>
    </row>
    <row r="18" spans="2:10" ht="16.05" customHeight="1" thickBot="1" x14ac:dyDescent="0.5">
      <c r="B18" s="117">
        <v>12</v>
      </c>
      <c r="C18" s="268"/>
      <c r="D18" s="330" t="s">
        <v>368</v>
      </c>
      <c r="E18" s="330" t="s">
        <v>181</v>
      </c>
      <c r="F18" s="331" t="s">
        <v>435</v>
      </c>
      <c r="G18" s="163"/>
      <c r="H18" s="141" t="s">
        <v>178</v>
      </c>
      <c r="I18" s="135" t="s">
        <v>40</v>
      </c>
      <c r="J18" s="136" t="str">
        <f>IF(C13="Mexico",H18,"")</f>
        <v/>
      </c>
    </row>
    <row r="19" spans="2:10" ht="16.05" customHeight="1" thickBot="1" x14ac:dyDescent="0.5">
      <c r="B19" s="117">
        <v>13</v>
      </c>
      <c r="C19" s="268"/>
      <c r="D19" s="330" t="s">
        <v>368</v>
      </c>
      <c r="E19" s="330" t="s">
        <v>181</v>
      </c>
      <c r="F19" s="331" t="s">
        <v>436</v>
      </c>
      <c r="G19" s="163"/>
      <c r="H19" s="137"/>
      <c r="I19" s="142" t="s">
        <v>41</v>
      </c>
      <c r="J19" s="139" t="str">
        <f>IF(C14="","",C14)</f>
        <v/>
      </c>
    </row>
    <row r="20" spans="2:10" ht="16.05" customHeight="1" thickBot="1" x14ac:dyDescent="0.5">
      <c r="B20" s="117">
        <v>14</v>
      </c>
      <c r="C20" s="268"/>
      <c r="D20" s="330" t="s">
        <v>368</v>
      </c>
      <c r="E20" s="330" t="s">
        <v>181</v>
      </c>
      <c r="F20" s="331" t="s">
        <v>437</v>
      </c>
      <c r="G20" s="163"/>
      <c r="H20" s="137"/>
      <c r="I20" s="142" t="s">
        <v>42</v>
      </c>
      <c r="J20" s="139" t="str">
        <f t="shared" ref="J20:J29" si="0">IF(C15="","",C15)</f>
        <v/>
      </c>
    </row>
    <row r="21" spans="2:10" ht="16.05" customHeight="1" thickBot="1" x14ac:dyDescent="0.5">
      <c r="B21" s="117">
        <v>15</v>
      </c>
      <c r="C21" s="268"/>
      <c r="D21" s="330" t="s">
        <v>368</v>
      </c>
      <c r="E21" s="330" t="s">
        <v>181</v>
      </c>
      <c r="F21" s="331" t="s">
        <v>438</v>
      </c>
      <c r="G21" s="163"/>
      <c r="H21" s="137"/>
      <c r="I21" s="142" t="s">
        <v>157</v>
      </c>
      <c r="J21" s="139" t="str">
        <f t="shared" si="0"/>
        <v/>
      </c>
    </row>
    <row r="22" spans="2:10" ht="16.05" customHeight="1" thickBot="1" x14ac:dyDescent="0.5">
      <c r="B22" s="117">
        <v>16</v>
      </c>
      <c r="C22" s="266"/>
      <c r="D22" s="330" t="s">
        <v>368</v>
      </c>
      <c r="E22" s="330"/>
      <c r="F22" s="331" t="str">
        <f>" H.  Give number of days (including vacation, nonworkdays, and partial days) you were present in the United States during " &amp; G22</f>
        <v xml:space="preserve"> H.  Give number of days (including vacation, nonworkdays, and partial days) you were present in the United States during 2016</v>
      </c>
      <c r="G22" s="262">
        <f>G23-1</f>
        <v>2016</v>
      </c>
      <c r="H22" s="137"/>
      <c r="I22" s="142" t="s">
        <v>158</v>
      </c>
      <c r="J22" s="139" t="str">
        <f t="shared" si="0"/>
        <v/>
      </c>
    </row>
    <row r="23" spans="2:10" ht="16.05" customHeight="1" thickBot="1" x14ac:dyDescent="0.5">
      <c r="B23" s="117">
        <v>17</v>
      </c>
      <c r="C23" s="266"/>
      <c r="D23" s="330" t="s">
        <v>368</v>
      </c>
      <c r="E23" s="330"/>
      <c r="F23" s="331" t="str">
        <f>" H.  Give number of days (including vacation, nonworkdays, and partial days) you were present in the United States during " &amp; G23</f>
        <v xml:space="preserve"> H.  Give number of days (including vacation, nonworkdays, and partial days) you were present in the United States during 2017</v>
      </c>
      <c r="G23" s="262">
        <f>G24-1</f>
        <v>2017</v>
      </c>
      <c r="H23" s="137"/>
      <c r="I23" s="142" t="s">
        <v>159</v>
      </c>
      <c r="J23" s="139" t="str">
        <f t="shared" si="0"/>
        <v/>
      </c>
    </row>
    <row r="24" spans="2:10" ht="16.05" customHeight="1" thickBot="1" x14ac:dyDescent="0.5">
      <c r="B24" s="117">
        <v>18</v>
      </c>
      <c r="C24" s="266"/>
      <c r="D24" s="330" t="s">
        <v>368</v>
      </c>
      <c r="E24" s="330"/>
      <c r="F24" s="331" t="str">
        <f>" H.  Give number of days (including vacation, nonworkdays, and partial days) you were present in the United States during " &amp; G24</f>
        <v xml:space="preserve"> H.  Give number of days (including vacation, nonworkdays, and partial days) you were present in the United States during 2018</v>
      </c>
      <c r="G24" s="262">
        <f>C5</f>
        <v>2018</v>
      </c>
      <c r="H24" s="137"/>
      <c r="I24" s="142" t="s">
        <v>160</v>
      </c>
      <c r="J24" s="139" t="str">
        <f t="shared" si="0"/>
        <v/>
      </c>
    </row>
    <row r="25" spans="2:10" ht="16.05" customHeight="1" thickBot="1" x14ac:dyDescent="0.5">
      <c r="B25" s="117">
        <v>19</v>
      </c>
      <c r="C25" s="264"/>
      <c r="D25" s="329" t="s">
        <v>363</v>
      </c>
      <c r="E25" s="330"/>
      <c r="F25" s="331" t="s">
        <v>439</v>
      </c>
      <c r="G25" s="163"/>
      <c r="H25" s="137"/>
      <c r="I25" s="142" t="s">
        <v>364</v>
      </c>
      <c r="J25" s="139" t="str">
        <f t="shared" si="0"/>
        <v/>
      </c>
    </row>
    <row r="26" spans="2:10" ht="16.05" customHeight="1" thickBot="1" x14ac:dyDescent="0.5">
      <c r="B26" s="117">
        <v>20</v>
      </c>
      <c r="C26" s="266"/>
      <c r="D26" s="330" t="s">
        <v>368</v>
      </c>
      <c r="E26" s="330" t="s">
        <v>313</v>
      </c>
      <c r="F26" s="331" t="s">
        <v>440</v>
      </c>
      <c r="G26" s="163"/>
      <c r="H26" s="137"/>
      <c r="I26" s="142" t="s">
        <v>365</v>
      </c>
      <c r="J26" s="139" t="str">
        <f t="shared" si="0"/>
        <v/>
      </c>
    </row>
    <row r="27" spans="2:10" ht="16.05" customHeight="1" thickBot="1" x14ac:dyDescent="0.5">
      <c r="B27" s="117">
        <v>21</v>
      </c>
      <c r="C27" s="264"/>
      <c r="D27" s="329" t="s">
        <v>363</v>
      </c>
      <c r="E27" s="330"/>
      <c r="F27" s="331" t="s">
        <v>441</v>
      </c>
      <c r="G27" s="163"/>
      <c r="H27" s="137"/>
      <c r="I27" s="142" t="s">
        <v>402</v>
      </c>
      <c r="J27" s="139" t="str">
        <f t="shared" si="0"/>
        <v/>
      </c>
    </row>
    <row r="28" spans="2:10" ht="16.05" customHeight="1" thickBot="1" x14ac:dyDescent="0.5">
      <c r="B28" s="117">
        <v>22</v>
      </c>
      <c r="C28" s="264"/>
      <c r="D28" s="329" t="s">
        <v>363</v>
      </c>
      <c r="E28" s="330"/>
      <c r="F28" s="331" t="s">
        <v>442</v>
      </c>
      <c r="G28" s="163"/>
      <c r="H28" s="137"/>
      <c r="I28" s="142" t="s">
        <v>403</v>
      </c>
      <c r="J28" s="139" t="str">
        <f t="shared" si="0"/>
        <v/>
      </c>
    </row>
    <row r="29" spans="2:10" ht="16.05" customHeight="1" thickBot="1" x14ac:dyDescent="0.5">
      <c r="B29" s="117">
        <v>23</v>
      </c>
      <c r="C29" s="264"/>
      <c r="D29" s="329" t="s">
        <v>363</v>
      </c>
      <c r="E29" s="330"/>
      <c r="F29" s="331" t="s">
        <v>443</v>
      </c>
      <c r="G29" s="163"/>
      <c r="H29" s="137"/>
      <c r="I29" s="142" t="s">
        <v>404</v>
      </c>
      <c r="J29" s="139" t="str">
        <f t="shared" si="0"/>
        <v/>
      </c>
    </row>
    <row r="30" spans="2:10" ht="16.05" customHeight="1" thickTop="1" thickBot="1" x14ac:dyDescent="0.5">
      <c r="B30" s="117">
        <v>24</v>
      </c>
      <c r="C30" s="264"/>
      <c r="D30" s="329" t="s">
        <v>363</v>
      </c>
      <c r="E30" s="330"/>
      <c r="F30" s="331" t="s">
        <v>444</v>
      </c>
      <c r="G30" s="163"/>
      <c r="H30" s="140" t="s">
        <v>178</v>
      </c>
      <c r="I30" s="132" t="s">
        <v>43</v>
      </c>
      <c r="J30" s="133" t="str">
        <f>IF(C25="Yes",H30,H31)</f>
        <v>No</v>
      </c>
    </row>
    <row r="31" spans="2:10" ht="16.05" customHeight="1" thickBot="1" x14ac:dyDescent="0.5">
      <c r="B31" s="117">
        <v>26</v>
      </c>
      <c r="C31" s="264"/>
      <c r="D31" s="329" t="s">
        <v>363</v>
      </c>
      <c r="E31" s="330"/>
      <c r="F31" s="331" t="s">
        <v>445</v>
      </c>
      <c r="G31" s="163"/>
      <c r="H31" s="143" t="s">
        <v>179</v>
      </c>
      <c r="I31" s="144" t="s">
        <v>44</v>
      </c>
      <c r="J31" s="136" t="str">
        <f>IF(C25="No",H31,H30)</f>
        <v>Yes</v>
      </c>
    </row>
    <row r="32" spans="2:10" ht="16.05" customHeight="1" thickBot="1" x14ac:dyDescent="0.5">
      <c r="B32" s="117">
        <v>27</v>
      </c>
      <c r="C32" s="264"/>
      <c r="D32" s="329" t="s">
        <v>363</v>
      </c>
      <c r="E32" s="330"/>
      <c r="F32" s="331" t="s">
        <v>446</v>
      </c>
      <c r="G32" s="163"/>
      <c r="H32" s="137"/>
      <c r="I32" s="138" t="s">
        <v>45</v>
      </c>
      <c r="J32" s="139" t="str">
        <f>IF(C26="","",C26)</f>
        <v/>
      </c>
    </row>
    <row r="33" spans="1:10" ht="16.05" customHeight="1" thickTop="1" thickBot="1" x14ac:dyDescent="0.5">
      <c r="B33" s="117">
        <v>28</v>
      </c>
      <c r="C33" s="264"/>
      <c r="D33" s="329" t="s">
        <v>363</v>
      </c>
      <c r="E33" s="330"/>
      <c r="F33" s="331" t="s">
        <v>447</v>
      </c>
      <c r="G33" s="163"/>
      <c r="H33" s="140" t="s">
        <v>178</v>
      </c>
      <c r="I33" s="132" t="s">
        <v>46</v>
      </c>
      <c r="J33" s="133" t="str">
        <f>IF(C27="Yes",H33,H34)</f>
        <v>No</v>
      </c>
    </row>
    <row r="34" spans="1:10" s="169" customFormat="1" ht="24" customHeight="1" thickBot="1" x14ac:dyDescent="0.5">
      <c r="B34" s="301">
        <v>29</v>
      </c>
      <c r="C34" s="302"/>
      <c r="D34" s="332" t="s">
        <v>363</v>
      </c>
      <c r="E34" s="333"/>
      <c r="F34" s="334" t="s">
        <v>448</v>
      </c>
      <c r="G34" s="303"/>
      <c r="H34" s="304" t="s">
        <v>179</v>
      </c>
      <c r="I34" s="305" t="s">
        <v>47</v>
      </c>
      <c r="J34" s="306" t="str">
        <f>IF(C27="No",H34,H33)</f>
        <v>Yes</v>
      </c>
    </row>
    <row r="35" spans="1:10" ht="16.05" customHeight="1" thickTop="1" thickBot="1" x14ac:dyDescent="0.5">
      <c r="A35" s="116"/>
      <c r="B35" s="117"/>
      <c r="C35" s="307"/>
      <c r="D35" s="119"/>
      <c r="E35" s="119"/>
      <c r="F35" s="146" t="s">
        <v>312</v>
      </c>
      <c r="G35" s="163"/>
      <c r="H35" s="140" t="s">
        <v>178</v>
      </c>
      <c r="I35" s="132" t="s">
        <v>48</v>
      </c>
      <c r="J35" s="133" t="str">
        <f>IF(C28="Yes",H35,H36)</f>
        <v>No</v>
      </c>
    </row>
    <row r="36" spans="1:10" ht="16.05" customHeight="1" thickTop="1" thickBot="1" x14ac:dyDescent="0.5">
      <c r="C36" s="308"/>
      <c r="G36" s="146"/>
      <c r="H36" s="145" t="s">
        <v>179</v>
      </c>
      <c r="I36" s="132" t="s">
        <v>49</v>
      </c>
      <c r="J36" s="136" t="str">
        <f>IF(C28="No",H36,H35)</f>
        <v>Yes</v>
      </c>
    </row>
    <row r="37" spans="1:10" ht="15" thickTop="1" thickBot="1" x14ac:dyDescent="0.5">
      <c r="C37" s="308"/>
      <c r="H37" s="147" t="s">
        <v>178</v>
      </c>
      <c r="I37" s="132" t="s">
        <v>50</v>
      </c>
      <c r="J37" s="133" t="str">
        <f>IF(C29="Yes",H37,H38)</f>
        <v>No</v>
      </c>
    </row>
    <row r="38" spans="1:10" ht="15" thickTop="1" thickBot="1" x14ac:dyDescent="0.5">
      <c r="C38" s="308"/>
      <c r="H38" s="147" t="s">
        <v>179</v>
      </c>
      <c r="I38" s="132" t="s">
        <v>51</v>
      </c>
      <c r="J38" s="136" t="str">
        <f>IF(C29="No",H38,H37)</f>
        <v>Yes</v>
      </c>
    </row>
    <row r="39" spans="1:10" ht="15" thickTop="1" thickBot="1" x14ac:dyDescent="0.5">
      <c r="C39" s="308"/>
      <c r="H39" s="147" t="s">
        <v>178</v>
      </c>
      <c r="I39" s="132" t="s">
        <v>52</v>
      </c>
      <c r="J39" s="133" t="str">
        <f>IF(C30="Yes",H39,H40)</f>
        <v>No</v>
      </c>
    </row>
    <row r="40" spans="1:10" ht="15" thickTop="1" thickBot="1" x14ac:dyDescent="0.5">
      <c r="C40" s="308"/>
      <c r="H40" s="147" t="s">
        <v>179</v>
      </c>
      <c r="I40" s="132" t="s">
        <v>53</v>
      </c>
      <c r="J40" s="136" t="str">
        <f>IF(C30="No",H40,H39)</f>
        <v>Yes</v>
      </c>
    </row>
    <row r="41" spans="1:10" ht="15" thickTop="1" thickBot="1" x14ac:dyDescent="0.5">
      <c r="H41" s="147" t="s">
        <v>178</v>
      </c>
      <c r="I41" s="184" t="s">
        <v>54</v>
      </c>
      <c r="J41" s="133" t="str">
        <f>IF(C31="Yes",H41,H42)</f>
        <v>No</v>
      </c>
    </row>
    <row r="42" spans="1:10" ht="15" thickTop="1" thickBot="1" x14ac:dyDescent="0.5">
      <c r="H42" s="147" t="s">
        <v>179</v>
      </c>
      <c r="I42" s="184" t="s">
        <v>55</v>
      </c>
      <c r="J42" s="136" t="str">
        <f>IF(C31="No",H42,H41)</f>
        <v>Yes</v>
      </c>
    </row>
    <row r="43" spans="1:10" ht="15" thickTop="1" thickBot="1" x14ac:dyDescent="0.5">
      <c r="H43" s="147" t="s">
        <v>178</v>
      </c>
      <c r="I43" s="184" t="s">
        <v>56</v>
      </c>
      <c r="J43" s="133" t="str">
        <f>IF(C32="Yes",H43,H44)</f>
        <v>No</v>
      </c>
    </row>
    <row r="44" spans="1:10" ht="15" thickTop="1" thickBot="1" x14ac:dyDescent="0.5">
      <c r="H44" s="147" t="s">
        <v>179</v>
      </c>
      <c r="I44" s="184" t="s">
        <v>57</v>
      </c>
      <c r="J44" s="136" t="str">
        <f>IF(C32="No",H44,H43)</f>
        <v>Yes</v>
      </c>
    </row>
    <row r="45" spans="1:10" ht="15" thickTop="1" thickBot="1" x14ac:dyDescent="0.5">
      <c r="H45" s="259" t="s">
        <v>178</v>
      </c>
      <c r="I45" s="256" t="s">
        <v>395</v>
      </c>
      <c r="J45" s="257" t="str">
        <f>IF(C33="Yes",H45,"")</f>
        <v/>
      </c>
    </row>
    <row r="46" spans="1:10" ht="15" thickTop="1" thickBot="1" x14ac:dyDescent="0.5">
      <c r="H46" s="259" t="s">
        <v>178</v>
      </c>
      <c r="I46" s="256" t="s">
        <v>414</v>
      </c>
      <c r="J46" s="258" t="str">
        <f>IF(C34="Yes",H46,"")</f>
        <v/>
      </c>
    </row>
    <row r="47" spans="1:10" ht="14.65" thickTop="1" x14ac:dyDescent="0.45"/>
  </sheetData>
  <sheetProtection password="DA43" sheet="1" objects="1" scenarios="1"/>
  <conditionalFormatting sqref="C7">
    <cfRule type="notContainsBlanks" dxfId="118" priority="30">
      <formula>LEN(TRIM(C7))&gt;0</formula>
    </cfRule>
  </conditionalFormatting>
  <conditionalFormatting sqref="C13">
    <cfRule type="notContainsBlanks" dxfId="117" priority="29">
      <formula>LEN(TRIM(C13))&gt;0</formula>
    </cfRule>
  </conditionalFormatting>
  <conditionalFormatting sqref="C8">
    <cfRule type="notContainsBlanks" dxfId="116" priority="28">
      <formula>LEN(TRIM(C8))&gt;0</formula>
    </cfRule>
  </conditionalFormatting>
  <conditionalFormatting sqref="C9">
    <cfRule type="notContainsBlanks" dxfId="115" priority="27">
      <formula>LEN(TRIM(C9))&gt;0</formula>
    </cfRule>
  </conditionalFormatting>
  <conditionalFormatting sqref="C11">
    <cfRule type="notContainsBlanks" dxfId="114" priority="26">
      <formula>LEN(TRIM(C11))&gt;0</formula>
    </cfRule>
  </conditionalFormatting>
  <conditionalFormatting sqref="C25">
    <cfRule type="notContainsBlanks" dxfId="113" priority="25">
      <formula>LEN(TRIM(C25))&gt;0</formula>
    </cfRule>
  </conditionalFormatting>
  <conditionalFormatting sqref="C29">
    <cfRule type="notContainsBlanks" dxfId="112" priority="24">
      <formula>LEN(TRIM(C29))&gt;0</formula>
    </cfRule>
  </conditionalFormatting>
  <conditionalFormatting sqref="C30">
    <cfRule type="notContainsBlanks" dxfId="111" priority="23">
      <formula>LEN(TRIM(C30))&gt;0</formula>
    </cfRule>
  </conditionalFormatting>
  <conditionalFormatting sqref="C31">
    <cfRule type="notContainsBlanks" dxfId="110" priority="22">
      <formula>LEN(TRIM(C31))&gt;0</formula>
    </cfRule>
  </conditionalFormatting>
  <conditionalFormatting sqref="C32">
    <cfRule type="notContainsBlanks" dxfId="109" priority="21">
      <formula>LEN(TRIM(C32))&gt;0</formula>
    </cfRule>
  </conditionalFormatting>
  <conditionalFormatting sqref="C10 C20:C21">
    <cfRule type="notContainsBlanks" dxfId="108" priority="19">
      <formula>LEN(TRIM(C10))&gt;0</formula>
    </cfRule>
    <cfRule type="containsBlanks" dxfId="107" priority="20">
      <formula>LEN(TRIM(C10))=0</formula>
    </cfRule>
  </conditionalFormatting>
  <conditionalFormatting sqref="C12">
    <cfRule type="notContainsBlanks" dxfId="106" priority="17">
      <formula>LEN(TRIM(C12))&gt;0</formula>
    </cfRule>
    <cfRule type="containsBlanks" dxfId="105" priority="18">
      <formula>LEN(TRIM(C12))=0</formula>
    </cfRule>
  </conditionalFormatting>
  <conditionalFormatting sqref="C14:C19">
    <cfRule type="notContainsBlanks" dxfId="104" priority="15">
      <formula>LEN(TRIM(C14))&gt;0</formula>
    </cfRule>
    <cfRule type="containsBlanks" dxfId="103" priority="16">
      <formula>LEN(TRIM(C14))=0</formula>
    </cfRule>
  </conditionalFormatting>
  <conditionalFormatting sqref="C22">
    <cfRule type="notContainsBlanks" dxfId="102" priority="13">
      <formula>LEN(TRIM(C22))&gt;0</formula>
    </cfRule>
    <cfRule type="containsBlanks" dxfId="101" priority="14">
      <formula>LEN(TRIM(C22))=0</formula>
    </cfRule>
  </conditionalFormatting>
  <conditionalFormatting sqref="C23">
    <cfRule type="notContainsBlanks" dxfId="100" priority="11">
      <formula>LEN(TRIM(C23))&gt;0</formula>
    </cfRule>
    <cfRule type="containsBlanks" dxfId="99" priority="12">
      <formula>LEN(TRIM(C23))=0</formula>
    </cfRule>
  </conditionalFormatting>
  <conditionalFormatting sqref="C24">
    <cfRule type="notContainsBlanks" dxfId="98" priority="9">
      <formula>LEN(TRIM(C24))&gt;0</formula>
    </cfRule>
    <cfRule type="containsBlanks" dxfId="97" priority="10">
      <formula>LEN(TRIM(C24))=0</formula>
    </cfRule>
  </conditionalFormatting>
  <conditionalFormatting sqref="C26">
    <cfRule type="notContainsBlanks" dxfId="96" priority="7">
      <formula>LEN(TRIM(C26))&gt;0</formula>
    </cfRule>
    <cfRule type="containsBlanks" dxfId="95" priority="8">
      <formula>LEN(TRIM(C26))=0</formula>
    </cfRule>
  </conditionalFormatting>
  <conditionalFormatting sqref="C27">
    <cfRule type="notContainsBlanks" dxfId="94" priority="6">
      <formula>LEN(TRIM(C27))&gt;0</formula>
    </cfRule>
  </conditionalFormatting>
  <conditionalFormatting sqref="C28">
    <cfRule type="notContainsBlanks" dxfId="93" priority="5">
      <formula>LEN(TRIM(C28))&gt;0</formula>
    </cfRule>
  </conditionalFormatting>
  <conditionalFormatting sqref="C33">
    <cfRule type="notContainsBlanks" dxfId="92" priority="4">
      <formula>LEN(TRIM(C33))&gt;0</formula>
    </cfRule>
  </conditionalFormatting>
  <conditionalFormatting sqref="C34">
    <cfRule type="notContainsBlanks" dxfId="91" priority="3">
      <formula>LEN(TRIM(C34))&gt;0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setSheet3" altText="Reset Form">
                <anchor moveWithCells="1" sizeWithCells="1">
                  <from>
                    <xdr:col>5</xdr:col>
                    <xdr:colOff>5062538</xdr:colOff>
                    <xdr:row>1</xdr:row>
                    <xdr:rowOff>47625</xdr:rowOff>
                  </from>
                  <to>
                    <xdr:col>5</xdr:col>
                    <xdr:colOff>5872163</xdr:colOff>
                    <xdr:row>2</xdr:row>
                    <xdr:rowOff>71438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Lists!$H$3:$H$5</xm:f>
          </x14:formula1>
          <xm:sqref>C13</xm:sqref>
        </x14:dataValidation>
        <x14:dataValidation type="list" showInputMessage="1" showErrorMessage="1">
          <x14:formula1>
            <xm:f>Lists!$A$2:$A$4</xm:f>
          </x14:formula1>
          <xm:sqref>C7:C9 C11 C25 C27:C30 C31:C34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I84"/>
  <sheetViews>
    <sheetView zoomScale="90" zoomScaleNormal="90" workbookViewId="0">
      <pane ySplit="1" topLeftCell="A2" activePane="bottomLeft" state="frozen"/>
      <selection activeCell="D41" sqref="D41"/>
      <selection pane="bottomLeft"/>
    </sheetView>
  </sheetViews>
  <sheetFormatPr defaultRowHeight="14.25" x14ac:dyDescent="0.45"/>
  <cols>
    <col min="1" max="1" width="27.86328125" style="76" customWidth="1"/>
    <col min="2" max="2" width="15.33203125" style="68" customWidth="1"/>
    <col min="3" max="3" width="12.46484375" style="68" customWidth="1"/>
    <col min="4" max="4" width="14" style="68" customWidth="1"/>
    <col min="5" max="5" width="17.86328125" style="70" customWidth="1"/>
    <col min="6" max="6" width="97.19921875" style="77" customWidth="1"/>
    <col min="7" max="7" width="24.86328125" style="80" customWidth="1"/>
    <col min="8" max="8" width="17.73046875" style="68" customWidth="1"/>
    <col min="9" max="9" width="9.06640625" style="9"/>
    <col min="10" max="16384" width="9.06640625" style="69"/>
  </cols>
  <sheetData>
    <row r="1" spans="1:9" s="59" customFormat="1" x14ac:dyDescent="0.45">
      <c r="A1" s="55" t="s">
        <v>161</v>
      </c>
      <c r="B1" s="56" t="s">
        <v>162</v>
      </c>
      <c r="C1" s="56" t="s">
        <v>163</v>
      </c>
      <c r="D1" s="56" t="s">
        <v>164</v>
      </c>
      <c r="E1" s="57" t="s">
        <v>166</v>
      </c>
      <c r="F1" s="58" t="s">
        <v>100</v>
      </c>
      <c r="G1" s="78" t="s">
        <v>361</v>
      </c>
      <c r="H1" s="56"/>
      <c r="I1" s="56"/>
    </row>
    <row r="2" spans="1:9" s="63" customFormat="1" x14ac:dyDescent="0.45">
      <c r="A2" s="60" t="s">
        <v>5</v>
      </c>
      <c r="B2" s="48" t="s">
        <v>176</v>
      </c>
      <c r="C2" s="48"/>
      <c r="D2" s="48" t="s">
        <v>177</v>
      </c>
      <c r="E2" s="61" t="s">
        <v>355</v>
      </c>
      <c r="F2" s="62" t="s">
        <v>140</v>
      </c>
      <c r="G2" s="79" t="s">
        <v>355</v>
      </c>
      <c r="H2" s="48" t="s">
        <v>362</v>
      </c>
      <c r="I2" s="48" t="s">
        <v>363</v>
      </c>
    </row>
    <row r="3" spans="1:9" s="63" customFormat="1" x14ac:dyDescent="0.45">
      <c r="A3" s="60" t="s">
        <v>6</v>
      </c>
      <c r="B3" s="48" t="s">
        <v>176</v>
      </c>
      <c r="C3" s="48"/>
      <c r="D3" s="48" t="s">
        <v>177</v>
      </c>
      <c r="E3" s="61" t="s">
        <v>356</v>
      </c>
      <c r="F3" s="62" t="s">
        <v>141</v>
      </c>
      <c r="G3" s="79" t="s">
        <v>356</v>
      </c>
      <c r="H3" s="48" t="s">
        <v>362</v>
      </c>
      <c r="I3" s="48" t="s">
        <v>363</v>
      </c>
    </row>
    <row r="4" spans="1:9" s="187" customFormat="1" x14ac:dyDescent="0.45">
      <c r="A4" s="188" t="s">
        <v>7</v>
      </c>
      <c r="B4" s="189" t="s">
        <v>176</v>
      </c>
      <c r="C4" s="189"/>
      <c r="D4" s="189" t="s">
        <v>177</v>
      </c>
      <c r="E4" s="190" t="s">
        <v>354</v>
      </c>
      <c r="F4" s="191" t="s">
        <v>165</v>
      </c>
      <c r="G4" s="254" t="str">
        <f>RIGHT(General!I4,2)</f>
        <v>18</v>
      </c>
      <c r="H4" s="189"/>
      <c r="I4" s="189"/>
    </row>
    <row r="5" spans="1:9" s="63" customFormat="1" x14ac:dyDescent="0.45">
      <c r="A5" s="64" t="s">
        <v>8</v>
      </c>
      <c r="B5" s="65" t="s">
        <v>176</v>
      </c>
      <c r="C5" s="65"/>
      <c r="D5" s="65" t="s">
        <v>177</v>
      </c>
      <c r="E5" s="66" t="s">
        <v>167</v>
      </c>
      <c r="F5" s="67" t="s">
        <v>142</v>
      </c>
      <c r="G5" s="80" t="str">
        <f>UPPER(General!C5 &amp; " " &amp; LEFT(General!C6,1))</f>
        <v xml:space="preserve"> </v>
      </c>
      <c r="H5" s="65"/>
      <c r="I5" s="65"/>
    </row>
    <row r="6" spans="1:9" s="63" customFormat="1" x14ac:dyDescent="0.45">
      <c r="A6" s="64" t="s">
        <v>9</v>
      </c>
      <c r="B6" s="65" t="s">
        <v>176</v>
      </c>
      <c r="C6" s="65"/>
      <c r="D6" s="65" t="s">
        <v>177</v>
      </c>
      <c r="E6" s="66" t="s">
        <v>168</v>
      </c>
      <c r="F6" s="67" t="s">
        <v>143</v>
      </c>
      <c r="G6" s="80" t="str">
        <f>UPPER(General!C7)</f>
        <v/>
      </c>
      <c r="H6" s="65"/>
      <c r="I6" s="65"/>
    </row>
    <row r="7" spans="1:9" x14ac:dyDescent="0.45">
      <c r="A7" s="64" t="s">
        <v>10</v>
      </c>
      <c r="B7" s="65" t="s">
        <v>176</v>
      </c>
      <c r="C7" s="65"/>
      <c r="D7" s="65" t="s">
        <v>177</v>
      </c>
      <c r="E7" s="66" t="s">
        <v>169</v>
      </c>
      <c r="F7" s="67" t="s">
        <v>144</v>
      </c>
      <c r="G7" s="80">
        <f>General!C18</f>
        <v>0</v>
      </c>
    </row>
    <row r="8" spans="1:9" x14ac:dyDescent="0.45">
      <c r="A8" s="64" t="s">
        <v>11</v>
      </c>
      <c r="B8" s="65" t="s">
        <v>176</v>
      </c>
      <c r="C8" s="65"/>
      <c r="D8" s="65" t="s">
        <v>177</v>
      </c>
      <c r="E8" s="66" t="s">
        <v>170</v>
      </c>
      <c r="F8" s="67" t="s">
        <v>145</v>
      </c>
      <c r="G8" s="80" t="str">
        <f>UPPER(General!C9)</f>
        <v/>
      </c>
    </row>
    <row r="9" spans="1:9" x14ac:dyDescent="0.45">
      <c r="A9" s="64" t="s">
        <v>394</v>
      </c>
      <c r="B9" s="65" t="s">
        <v>176</v>
      </c>
      <c r="C9" s="65"/>
      <c r="D9" s="65"/>
      <c r="E9" s="66"/>
      <c r="F9" s="67" t="s">
        <v>327</v>
      </c>
      <c r="G9" s="80" t="str">
        <f>UPPER(General!C8)</f>
        <v/>
      </c>
    </row>
    <row r="10" spans="1:9" x14ac:dyDescent="0.45">
      <c r="A10" s="60" t="s">
        <v>12</v>
      </c>
      <c r="B10" s="48" t="s">
        <v>175</v>
      </c>
      <c r="C10" s="48"/>
      <c r="D10" s="48" t="s">
        <v>177</v>
      </c>
      <c r="E10" s="61">
        <v>1</v>
      </c>
      <c r="F10" s="62" t="s">
        <v>147</v>
      </c>
      <c r="G10" s="47">
        <v>1</v>
      </c>
      <c r="H10" s="48" t="s">
        <v>362</v>
      </c>
      <c r="I10" s="48" t="s">
        <v>363</v>
      </c>
    </row>
    <row r="11" spans="1:9" x14ac:dyDescent="0.45">
      <c r="A11" s="64" t="s">
        <v>13</v>
      </c>
      <c r="B11" s="65" t="s">
        <v>176</v>
      </c>
      <c r="C11" s="65"/>
      <c r="D11" s="65" t="s">
        <v>177</v>
      </c>
      <c r="E11" s="66" t="s">
        <v>173</v>
      </c>
      <c r="F11" s="67" t="s">
        <v>146</v>
      </c>
      <c r="G11" s="80" t="str">
        <f>UPPER(General!C10 &amp; ", " &amp; General!C11 &amp; ", " &amp; General!C12 &amp; ", " &amp; General!C13 &amp; ", " &amp; General!C14)</f>
        <v xml:space="preserve">, , , , </v>
      </c>
    </row>
    <row r="12" spans="1:9" x14ac:dyDescent="0.45">
      <c r="A12" s="64" t="s">
        <v>14</v>
      </c>
      <c r="B12" s="65" t="s">
        <v>176</v>
      </c>
      <c r="C12" s="65"/>
      <c r="D12" s="65" t="s">
        <v>177</v>
      </c>
      <c r="E12" s="66" t="s">
        <v>172</v>
      </c>
      <c r="F12" s="67" t="s">
        <v>149</v>
      </c>
      <c r="G12" s="80" t="str">
        <f>UPPER(General!C13)</f>
        <v/>
      </c>
    </row>
    <row r="13" spans="1:9" x14ac:dyDescent="0.45">
      <c r="A13" s="64" t="s">
        <v>15</v>
      </c>
      <c r="B13" s="65" t="s">
        <v>176</v>
      </c>
      <c r="C13" s="65"/>
      <c r="D13" s="65" t="s">
        <v>177</v>
      </c>
      <c r="E13" s="66" t="s">
        <v>173</v>
      </c>
      <c r="F13" s="67" t="s">
        <v>150</v>
      </c>
      <c r="G13" s="80" t="str">
        <f>UPPER(General!C12)</f>
        <v/>
      </c>
    </row>
    <row r="14" spans="1:9" x14ac:dyDescent="0.45">
      <c r="A14" s="64" t="s">
        <v>16</v>
      </c>
      <c r="B14" s="65" t="s">
        <v>176</v>
      </c>
      <c r="C14" s="65"/>
      <c r="D14" s="65" t="s">
        <v>177</v>
      </c>
      <c r="E14" s="66" t="s">
        <v>174</v>
      </c>
      <c r="F14" s="67" t="s">
        <v>151</v>
      </c>
      <c r="G14" s="80" t="str">
        <f>UPPER(General!C14)</f>
        <v/>
      </c>
    </row>
    <row r="15" spans="1:9" x14ac:dyDescent="0.45">
      <c r="A15" s="60" t="s">
        <v>17</v>
      </c>
      <c r="B15" s="48" t="s">
        <v>175</v>
      </c>
      <c r="C15" s="48">
        <v>2</v>
      </c>
      <c r="D15" s="48">
        <v>0</v>
      </c>
      <c r="E15" s="61">
        <v>2</v>
      </c>
      <c r="F15" s="62" t="s">
        <v>328</v>
      </c>
      <c r="G15" s="47">
        <v>2</v>
      </c>
      <c r="H15" s="48" t="s">
        <v>362</v>
      </c>
      <c r="I15" s="48" t="s">
        <v>363</v>
      </c>
    </row>
    <row r="16" spans="1:9" x14ac:dyDescent="0.45">
      <c r="A16" s="64" t="s">
        <v>331</v>
      </c>
      <c r="B16" s="65" t="s">
        <v>176</v>
      </c>
      <c r="C16" s="65"/>
      <c r="D16" s="65" t="s">
        <v>177</v>
      </c>
      <c r="E16" s="66" t="s">
        <v>332</v>
      </c>
      <c r="F16" s="67" t="s">
        <v>329</v>
      </c>
      <c r="G16" s="85">
        <f>ROUNDDOWN(Bank_Accounts_2018!G2,0)</f>
        <v>0</v>
      </c>
    </row>
    <row r="17" spans="1:9" x14ac:dyDescent="0.45">
      <c r="A17" s="64" t="s">
        <v>335</v>
      </c>
      <c r="B17" s="65" t="s">
        <v>176</v>
      </c>
      <c r="C17" s="65"/>
      <c r="D17" s="65" t="s">
        <v>177</v>
      </c>
      <c r="E17" s="66" t="s">
        <v>220</v>
      </c>
      <c r="F17" s="67" t="s">
        <v>330</v>
      </c>
      <c r="G17" s="85" t="str">
        <f>RIGHT(ROUND(Bank_Accounts_2018!G2-TRUNC(Bank_Accounts_2018!G2),2),2)</f>
        <v>0</v>
      </c>
      <c r="H17" s="84"/>
    </row>
    <row r="18" spans="1:9" x14ac:dyDescent="0.45">
      <c r="A18" s="64" t="s">
        <v>397</v>
      </c>
      <c r="B18" s="48" t="s">
        <v>176</v>
      </c>
      <c r="C18" s="48"/>
      <c r="D18" s="48" t="s">
        <v>177</v>
      </c>
      <c r="E18" s="48"/>
      <c r="F18" s="62" t="s">
        <v>333</v>
      </c>
      <c r="G18" s="79">
        <f>$G$16</f>
        <v>0</v>
      </c>
      <c r="H18" s="48"/>
      <c r="I18" s="48"/>
    </row>
    <row r="19" spans="1:9" x14ac:dyDescent="0.45">
      <c r="A19" s="64" t="s">
        <v>398</v>
      </c>
      <c r="B19" s="48" t="s">
        <v>176</v>
      </c>
      <c r="C19" s="48"/>
      <c r="D19" s="48" t="s">
        <v>177</v>
      </c>
      <c r="E19" s="48"/>
      <c r="F19" s="62" t="s">
        <v>334</v>
      </c>
      <c r="G19" s="79" t="str">
        <f>$G$17</f>
        <v>0</v>
      </c>
      <c r="H19" s="48"/>
      <c r="I19" s="48"/>
    </row>
    <row r="20" spans="1:9" x14ac:dyDescent="0.45">
      <c r="A20" s="64" t="s">
        <v>338</v>
      </c>
      <c r="B20" s="48" t="s">
        <v>176</v>
      </c>
      <c r="C20" s="48"/>
      <c r="D20" s="48" t="s">
        <v>177</v>
      </c>
      <c r="E20" s="48"/>
      <c r="F20" s="62" t="s">
        <v>336</v>
      </c>
      <c r="G20" s="79">
        <f>$G$16</f>
        <v>0</v>
      </c>
      <c r="H20" s="48"/>
      <c r="I20" s="48"/>
    </row>
    <row r="21" spans="1:9" x14ac:dyDescent="0.45">
      <c r="A21" s="64" t="s">
        <v>339</v>
      </c>
      <c r="B21" s="48" t="s">
        <v>176</v>
      </c>
      <c r="C21" s="48"/>
      <c r="D21" s="48" t="s">
        <v>177</v>
      </c>
      <c r="E21" s="48"/>
      <c r="F21" s="62" t="s">
        <v>337</v>
      </c>
      <c r="G21" s="79" t="str">
        <f>$G$17</f>
        <v>0</v>
      </c>
      <c r="H21" s="48"/>
      <c r="I21" s="48"/>
    </row>
    <row r="22" spans="1:9" x14ac:dyDescent="0.45">
      <c r="A22" s="64" t="s">
        <v>340</v>
      </c>
      <c r="B22" s="48" t="s">
        <v>176</v>
      </c>
      <c r="C22" s="48"/>
      <c r="D22" s="48" t="s">
        <v>177</v>
      </c>
      <c r="E22" s="48"/>
      <c r="F22" s="62" t="s">
        <v>342</v>
      </c>
      <c r="G22" s="79">
        <f>$G$16</f>
        <v>0</v>
      </c>
      <c r="H22" s="48"/>
      <c r="I22" s="48"/>
    </row>
    <row r="23" spans="1:9" x14ac:dyDescent="0.45">
      <c r="A23" s="64" t="s">
        <v>341</v>
      </c>
      <c r="B23" s="48" t="s">
        <v>176</v>
      </c>
      <c r="C23" s="48"/>
      <c r="D23" s="48" t="s">
        <v>177</v>
      </c>
      <c r="E23" s="48"/>
      <c r="F23" s="62" t="s">
        <v>343</v>
      </c>
      <c r="G23" s="79" t="str">
        <f>$G$17</f>
        <v>0</v>
      </c>
      <c r="H23" s="48"/>
      <c r="I23" s="48"/>
    </row>
    <row r="24" spans="1:9" x14ac:dyDescent="0.45">
      <c r="A24" s="64" t="s">
        <v>357</v>
      </c>
      <c r="B24" s="48" t="s">
        <v>176</v>
      </c>
      <c r="C24" s="48"/>
      <c r="D24" s="48" t="s">
        <v>177</v>
      </c>
      <c r="E24" s="48"/>
      <c r="F24" s="62" t="s">
        <v>359</v>
      </c>
      <c r="G24" s="79">
        <f>$G$16</f>
        <v>0</v>
      </c>
      <c r="H24" s="48" t="s">
        <v>362</v>
      </c>
      <c r="I24" s="48" t="s">
        <v>363</v>
      </c>
    </row>
    <row r="25" spans="1:9" x14ac:dyDescent="0.45">
      <c r="A25" s="64" t="s">
        <v>358</v>
      </c>
      <c r="B25" s="48" t="s">
        <v>176</v>
      </c>
      <c r="C25" s="48"/>
      <c r="D25" s="48" t="s">
        <v>177</v>
      </c>
      <c r="E25" s="48"/>
      <c r="F25" s="62" t="s">
        <v>360</v>
      </c>
      <c r="G25" s="79" t="str">
        <f>$G$17</f>
        <v>0</v>
      </c>
      <c r="H25" s="48" t="s">
        <v>362</v>
      </c>
      <c r="I25" s="48" t="s">
        <v>363</v>
      </c>
    </row>
    <row r="26" spans="1:9" x14ac:dyDescent="0.45">
      <c r="A26" s="60" t="s">
        <v>18</v>
      </c>
      <c r="B26" s="48" t="s">
        <v>176</v>
      </c>
      <c r="C26" s="48"/>
      <c r="D26" s="48" t="s">
        <v>177</v>
      </c>
      <c r="E26" s="48" t="s">
        <v>186</v>
      </c>
      <c r="F26" s="62" t="s">
        <v>105</v>
      </c>
      <c r="G26" s="47" t="s">
        <v>186</v>
      </c>
      <c r="H26" s="48" t="s">
        <v>362</v>
      </c>
      <c r="I26" s="48" t="s">
        <v>363</v>
      </c>
    </row>
    <row r="27" spans="1:9" x14ac:dyDescent="0.45">
      <c r="A27" s="64" t="s">
        <v>19</v>
      </c>
      <c r="B27" s="65" t="s">
        <v>176</v>
      </c>
      <c r="C27" s="65"/>
      <c r="D27" s="65" t="s">
        <v>177</v>
      </c>
      <c r="E27" s="65"/>
      <c r="F27" s="67" t="s">
        <v>344</v>
      </c>
      <c r="G27" s="81">
        <f>$G$16</f>
        <v>0</v>
      </c>
    </row>
    <row r="28" spans="1:9" x14ac:dyDescent="0.45">
      <c r="A28" s="64" t="s">
        <v>20</v>
      </c>
      <c r="B28" s="65" t="s">
        <v>176</v>
      </c>
      <c r="C28" s="65"/>
      <c r="D28" s="65" t="s">
        <v>177</v>
      </c>
      <c r="E28" s="65"/>
      <c r="F28" s="67" t="s">
        <v>345</v>
      </c>
      <c r="G28" s="81" t="str">
        <f>$G$17</f>
        <v>0</v>
      </c>
    </row>
    <row r="29" spans="1:9" x14ac:dyDescent="0.45">
      <c r="A29" s="64" t="s">
        <v>21</v>
      </c>
      <c r="B29" s="65" t="s">
        <v>176</v>
      </c>
      <c r="C29" s="65"/>
      <c r="D29" s="65" t="s">
        <v>177</v>
      </c>
      <c r="E29" s="65"/>
      <c r="F29" s="67" t="s">
        <v>346</v>
      </c>
      <c r="G29" s="81">
        <f>$G$16</f>
        <v>0</v>
      </c>
    </row>
    <row r="30" spans="1:9" x14ac:dyDescent="0.45">
      <c r="A30" s="64" t="s">
        <v>22</v>
      </c>
      <c r="B30" s="65" t="s">
        <v>176</v>
      </c>
      <c r="C30" s="65"/>
      <c r="D30" s="65" t="s">
        <v>177</v>
      </c>
      <c r="E30" s="65"/>
      <c r="F30" s="67" t="s">
        <v>347</v>
      </c>
      <c r="G30" s="81" t="str">
        <f>$G$17</f>
        <v>0</v>
      </c>
    </row>
    <row r="31" spans="1:9" x14ac:dyDescent="0.45">
      <c r="A31" s="60" t="s">
        <v>23</v>
      </c>
      <c r="B31" s="48" t="s">
        <v>176</v>
      </c>
      <c r="C31" s="48"/>
      <c r="D31" s="48" t="s">
        <v>177</v>
      </c>
      <c r="E31" s="48" t="s">
        <v>187</v>
      </c>
      <c r="F31" s="62" t="s">
        <v>348</v>
      </c>
      <c r="G31" s="79">
        <v>0</v>
      </c>
      <c r="H31" s="48" t="s">
        <v>362</v>
      </c>
      <c r="I31" s="48" t="s">
        <v>363</v>
      </c>
    </row>
    <row r="32" spans="1:9" x14ac:dyDescent="0.45">
      <c r="A32" s="60" t="s">
        <v>24</v>
      </c>
      <c r="B32" s="48" t="s">
        <v>176</v>
      </c>
      <c r="C32" s="48"/>
      <c r="D32" s="48" t="s">
        <v>177</v>
      </c>
      <c r="E32" s="48" t="s">
        <v>188</v>
      </c>
      <c r="F32" s="62" t="s">
        <v>350</v>
      </c>
      <c r="G32" s="79" t="s">
        <v>188</v>
      </c>
      <c r="H32" s="48" t="s">
        <v>362</v>
      </c>
      <c r="I32" s="48" t="s">
        <v>363</v>
      </c>
    </row>
    <row r="33" spans="1:9" x14ac:dyDescent="0.45">
      <c r="A33" s="60" t="s">
        <v>25</v>
      </c>
      <c r="B33" s="48" t="s">
        <v>176</v>
      </c>
      <c r="C33" s="48"/>
      <c r="D33" s="48" t="s">
        <v>177</v>
      </c>
      <c r="E33" s="48" t="s">
        <v>187</v>
      </c>
      <c r="F33" s="62" t="s">
        <v>349</v>
      </c>
      <c r="G33" s="79">
        <v>0</v>
      </c>
      <c r="H33" s="48" t="s">
        <v>362</v>
      </c>
      <c r="I33" s="48" t="s">
        <v>363</v>
      </c>
    </row>
    <row r="34" spans="1:9" x14ac:dyDescent="0.45">
      <c r="A34" s="60" t="s">
        <v>26</v>
      </c>
      <c r="B34" s="48" t="s">
        <v>176</v>
      </c>
      <c r="C34" s="48"/>
      <c r="D34" s="48" t="s">
        <v>177</v>
      </c>
      <c r="E34" s="48" t="s">
        <v>188</v>
      </c>
      <c r="F34" s="62" t="s">
        <v>351</v>
      </c>
      <c r="G34" s="79" t="s">
        <v>188</v>
      </c>
      <c r="H34" s="48" t="s">
        <v>362</v>
      </c>
      <c r="I34" s="48" t="s">
        <v>363</v>
      </c>
    </row>
    <row r="35" spans="1:9" x14ac:dyDescent="0.45">
      <c r="A35" s="64" t="s">
        <v>27</v>
      </c>
      <c r="B35" s="65" t="s">
        <v>176</v>
      </c>
      <c r="C35" s="65"/>
      <c r="D35" s="65" t="s">
        <v>177</v>
      </c>
      <c r="E35" s="65" t="s">
        <v>172</v>
      </c>
      <c r="F35" s="67" t="s">
        <v>106</v>
      </c>
      <c r="G35" s="80" t="str">
        <f>UPPER(General!C19)</f>
        <v/>
      </c>
    </row>
    <row r="36" spans="1:9" x14ac:dyDescent="0.45">
      <c r="A36" s="64" t="s">
        <v>28</v>
      </c>
      <c r="B36" s="65" t="s">
        <v>176</v>
      </c>
      <c r="C36" s="65"/>
      <c r="D36" s="65" t="s">
        <v>177</v>
      </c>
      <c r="E36" s="65" t="s">
        <v>172</v>
      </c>
      <c r="F36" s="67" t="s">
        <v>107</v>
      </c>
      <c r="G36" s="115" t="str">
        <f>UPPER(General!C20)</f>
        <v/>
      </c>
      <c r="I36" s="68"/>
    </row>
    <row r="37" spans="1:9" s="71" customFormat="1" x14ac:dyDescent="0.45">
      <c r="A37" s="72" t="s">
        <v>29</v>
      </c>
      <c r="B37" s="73" t="s">
        <v>171</v>
      </c>
      <c r="C37" s="73" t="s">
        <v>178</v>
      </c>
      <c r="D37" s="73" t="s">
        <v>177</v>
      </c>
      <c r="E37" s="74" t="s">
        <v>177</v>
      </c>
      <c r="F37" s="75" t="s">
        <v>108</v>
      </c>
      <c r="G37" s="80" t="str">
        <f>IF(Form_1040NR_2018!J7="","",Form_1040NR_2018!J7)</f>
        <v>No</v>
      </c>
      <c r="H37" s="73"/>
      <c r="I37" s="73"/>
    </row>
    <row r="38" spans="1:9" x14ac:dyDescent="0.45">
      <c r="A38" s="64" t="s">
        <v>30</v>
      </c>
      <c r="B38" s="65" t="s">
        <v>171</v>
      </c>
      <c r="C38" s="65" t="s">
        <v>179</v>
      </c>
      <c r="D38" s="65" t="s">
        <v>177</v>
      </c>
      <c r="E38" s="66" t="s">
        <v>180</v>
      </c>
      <c r="F38" s="67" t="s">
        <v>109</v>
      </c>
      <c r="G38" s="80" t="str">
        <f>IF(Form_1040NR_2018!J8="","",Form_1040NR_2018!J8)</f>
        <v>Yes</v>
      </c>
      <c r="I38" s="68"/>
    </row>
    <row r="39" spans="1:9" s="71" customFormat="1" x14ac:dyDescent="0.45">
      <c r="A39" s="72" t="s">
        <v>31</v>
      </c>
      <c r="B39" s="73" t="s">
        <v>171</v>
      </c>
      <c r="C39" s="73" t="s">
        <v>178</v>
      </c>
      <c r="D39" s="73" t="s">
        <v>177</v>
      </c>
      <c r="E39" s="74" t="s">
        <v>177</v>
      </c>
      <c r="F39" s="75" t="s">
        <v>110</v>
      </c>
      <c r="G39" s="80" t="str">
        <f>IF(Form_1040NR_2018!J9="","",Form_1040NR_2018!J9)</f>
        <v>No</v>
      </c>
      <c r="H39" s="73"/>
      <c r="I39" s="73"/>
    </row>
    <row r="40" spans="1:9" x14ac:dyDescent="0.45">
      <c r="A40" s="64" t="s">
        <v>32</v>
      </c>
      <c r="B40" s="65" t="s">
        <v>171</v>
      </c>
      <c r="C40" s="65" t="s">
        <v>179</v>
      </c>
      <c r="D40" s="65" t="s">
        <v>177</v>
      </c>
      <c r="E40" s="66" t="s">
        <v>180</v>
      </c>
      <c r="F40" s="67" t="s">
        <v>111</v>
      </c>
      <c r="G40" s="80" t="str">
        <f>IF(Form_1040NR_2018!J10="","",Form_1040NR_2018!J10)</f>
        <v>Yes</v>
      </c>
      <c r="I40" s="68"/>
    </row>
    <row r="41" spans="1:9" x14ac:dyDescent="0.45">
      <c r="A41" s="64" t="s">
        <v>33</v>
      </c>
      <c r="B41" s="65" t="s">
        <v>171</v>
      </c>
      <c r="C41" s="65" t="s">
        <v>178</v>
      </c>
      <c r="D41" s="65" t="s">
        <v>177</v>
      </c>
      <c r="E41" s="66" t="s">
        <v>177</v>
      </c>
      <c r="F41" s="67" t="s">
        <v>112</v>
      </c>
      <c r="G41" s="80" t="str">
        <f>IF(Form_1040NR_2018!J11="","",Form_1040NR_2018!J11)</f>
        <v>No</v>
      </c>
      <c r="I41" s="68"/>
    </row>
    <row r="42" spans="1:9" x14ac:dyDescent="0.45">
      <c r="A42" s="64" t="s">
        <v>34</v>
      </c>
      <c r="B42" s="65" t="s">
        <v>171</v>
      </c>
      <c r="C42" s="65" t="s">
        <v>179</v>
      </c>
      <c r="D42" s="65" t="s">
        <v>177</v>
      </c>
      <c r="E42" s="66" t="s">
        <v>180</v>
      </c>
      <c r="F42" s="67" t="s">
        <v>113</v>
      </c>
      <c r="G42" s="80" t="str">
        <f>IF(Form_1040NR_2018!J12="","",Form_1040NR_2018!J12)</f>
        <v>Yes</v>
      </c>
      <c r="I42" s="68"/>
    </row>
    <row r="43" spans="1:9" ht="28.5" x14ac:dyDescent="0.45">
      <c r="A43" s="64" t="s">
        <v>35</v>
      </c>
      <c r="B43" s="65" t="s">
        <v>176</v>
      </c>
      <c r="C43" s="65"/>
      <c r="D43" s="65" t="s">
        <v>177</v>
      </c>
      <c r="E43" s="66"/>
      <c r="F43" s="67" t="s">
        <v>114</v>
      </c>
      <c r="G43" s="80" t="str">
        <f>IF(Form_1040NR_2018!J13="","",Form_1040NR_2018!J13)</f>
        <v/>
      </c>
      <c r="I43" s="68"/>
    </row>
    <row r="44" spans="1:9" x14ac:dyDescent="0.45">
      <c r="A44" s="64" t="s">
        <v>36</v>
      </c>
      <c r="B44" s="65" t="s">
        <v>171</v>
      </c>
      <c r="C44" s="65" t="s">
        <v>178</v>
      </c>
      <c r="D44" s="65" t="s">
        <v>177</v>
      </c>
      <c r="E44" s="66" t="s">
        <v>177</v>
      </c>
      <c r="F44" s="67" t="s">
        <v>115</v>
      </c>
      <c r="G44" s="80" t="str">
        <f>IF(Form_1040NR_2018!J14="","",Form_1040NR_2018!J14)</f>
        <v>No</v>
      </c>
    </row>
    <row r="45" spans="1:9" x14ac:dyDescent="0.45">
      <c r="A45" s="64" t="s">
        <v>37</v>
      </c>
      <c r="B45" s="65" t="s">
        <v>171</v>
      </c>
      <c r="C45" s="65" t="s">
        <v>179</v>
      </c>
      <c r="D45" s="65" t="s">
        <v>177</v>
      </c>
      <c r="E45" s="66" t="s">
        <v>180</v>
      </c>
      <c r="F45" s="67" t="s">
        <v>117</v>
      </c>
      <c r="G45" s="80" t="str">
        <f>IF(Form_1040NR_2018!J15="","",Form_1040NR_2018!J15)</f>
        <v>Yes</v>
      </c>
    </row>
    <row r="46" spans="1:9" x14ac:dyDescent="0.45">
      <c r="A46" s="64" t="s">
        <v>38</v>
      </c>
      <c r="B46" s="65" t="s">
        <v>176</v>
      </c>
      <c r="C46" s="65"/>
      <c r="D46" s="65" t="s">
        <v>177</v>
      </c>
      <c r="E46" s="66"/>
      <c r="F46" s="67" t="s">
        <v>116</v>
      </c>
      <c r="G46" s="80" t="str">
        <f>IF(Form_1040NR_2018!J16="","",Form_1040NR_2018!J16)</f>
        <v/>
      </c>
    </row>
    <row r="47" spans="1:9" ht="28.5" x14ac:dyDescent="0.45">
      <c r="A47" s="64" t="s">
        <v>39</v>
      </c>
      <c r="B47" s="65" t="s">
        <v>171</v>
      </c>
      <c r="C47" s="65" t="s">
        <v>178</v>
      </c>
      <c r="D47" s="65" t="s">
        <v>177</v>
      </c>
      <c r="E47" s="66" t="s">
        <v>177</v>
      </c>
      <c r="F47" s="67" t="s">
        <v>118</v>
      </c>
      <c r="G47" s="80" t="str">
        <f>IF(Form_1040NR_2018!J17="","",Form_1040NR_2018!J17)</f>
        <v/>
      </c>
    </row>
    <row r="48" spans="1:9" ht="28.5" x14ac:dyDescent="0.45">
      <c r="A48" s="64" t="s">
        <v>40</v>
      </c>
      <c r="B48" s="65" t="s">
        <v>171</v>
      </c>
      <c r="C48" s="65" t="s">
        <v>179</v>
      </c>
      <c r="D48" s="65" t="s">
        <v>177</v>
      </c>
      <c r="E48" s="66" t="s">
        <v>177</v>
      </c>
      <c r="F48" s="67" t="s">
        <v>119</v>
      </c>
      <c r="G48" s="80" t="str">
        <f>IF(Form_1040NR_2018!J18="","",Form_1040NR_2018!J18)</f>
        <v/>
      </c>
    </row>
    <row r="49" spans="1:7" s="69" customFormat="1" x14ac:dyDescent="0.45">
      <c r="A49" s="64" t="s">
        <v>41</v>
      </c>
      <c r="B49" s="65" t="s">
        <v>176</v>
      </c>
      <c r="C49" s="65" t="s">
        <v>181</v>
      </c>
      <c r="D49" s="65" t="s">
        <v>177</v>
      </c>
      <c r="E49" s="66" t="s">
        <v>182</v>
      </c>
      <c r="F49" s="67" t="s">
        <v>120</v>
      </c>
      <c r="G49" s="80" t="str">
        <f>IF(Form_1040NR_2018!J19="","",Form_1040NR_2018!J19)</f>
        <v/>
      </c>
    </row>
    <row r="50" spans="1:7" s="69" customFormat="1" x14ac:dyDescent="0.45">
      <c r="A50" s="64" t="s">
        <v>42</v>
      </c>
      <c r="B50" s="65" t="s">
        <v>176</v>
      </c>
      <c r="C50" s="65" t="s">
        <v>181</v>
      </c>
      <c r="D50" s="65" t="s">
        <v>177</v>
      </c>
      <c r="E50" s="66" t="s">
        <v>183</v>
      </c>
      <c r="F50" s="67" t="s">
        <v>121</v>
      </c>
      <c r="G50" s="80" t="str">
        <f>IF(Form_1040NR_2018!J20="","",Form_1040NR_2018!J20)</f>
        <v/>
      </c>
    </row>
    <row r="51" spans="1:7" s="69" customFormat="1" x14ac:dyDescent="0.45">
      <c r="A51" s="64" t="s">
        <v>157</v>
      </c>
      <c r="B51" s="65" t="s">
        <v>176</v>
      </c>
      <c r="C51" s="65" t="s">
        <v>181</v>
      </c>
      <c r="D51" s="65" t="s">
        <v>177</v>
      </c>
      <c r="E51" s="66"/>
      <c r="F51" s="67" t="s">
        <v>120</v>
      </c>
      <c r="G51" s="80" t="str">
        <f>IF(Form_1040NR_2018!J21="","",Form_1040NR_2018!J21)</f>
        <v/>
      </c>
    </row>
    <row r="52" spans="1:7" s="69" customFormat="1" x14ac:dyDescent="0.45">
      <c r="A52" s="64" t="s">
        <v>158</v>
      </c>
      <c r="B52" s="65" t="s">
        <v>176</v>
      </c>
      <c r="C52" s="65" t="s">
        <v>181</v>
      </c>
      <c r="D52" s="65" t="s">
        <v>177</v>
      </c>
      <c r="E52" s="66"/>
      <c r="F52" s="67" t="s">
        <v>121</v>
      </c>
      <c r="G52" s="80" t="str">
        <f>IF(Form_1040NR_2018!J22="","",Form_1040NR_2018!J22)</f>
        <v/>
      </c>
    </row>
    <row r="53" spans="1:7" s="69" customFormat="1" x14ac:dyDescent="0.45">
      <c r="A53" s="64" t="s">
        <v>159</v>
      </c>
      <c r="B53" s="65" t="s">
        <v>176</v>
      </c>
      <c r="C53" s="65" t="s">
        <v>181</v>
      </c>
      <c r="D53" s="65" t="s">
        <v>177</v>
      </c>
      <c r="E53" s="66"/>
      <c r="F53" s="67" t="s">
        <v>120</v>
      </c>
      <c r="G53" s="80" t="str">
        <f>IF(Form_1040NR_2018!J23="","",Form_1040NR_2018!J23)</f>
        <v/>
      </c>
    </row>
    <row r="54" spans="1:7" s="69" customFormat="1" x14ac:dyDescent="0.45">
      <c r="A54" s="64" t="s">
        <v>160</v>
      </c>
      <c r="B54" s="65" t="s">
        <v>176</v>
      </c>
      <c r="C54" s="65" t="s">
        <v>181</v>
      </c>
      <c r="D54" s="65" t="s">
        <v>177</v>
      </c>
      <c r="E54" s="66"/>
      <c r="F54" s="67" t="s">
        <v>121</v>
      </c>
      <c r="G54" s="80" t="str">
        <f>IF(Form_1040NR_2018!J24="","",Form_1040NR_2018!J24)</f>
        <v/>
      </c>
    </row>
    <row r="55" spans="1:7" s="69" customFormat="1" x14ac:dyDescent="0.45">
      <c r="A55" s="64" t="s">
        <v>364</v>
      </c>
      <c r="B55" s="65" t="s">
        <v>176</v>
      </c>
      <c r="C55" s="65" t="s">
        <v>181</v>
      </c>
      <c r="D55" s="65" t="s">
        <v>177</v>
      </c>
      <c r="E55" s="66"/>
      <c r="F55" s="67" t="s">
        <v>120</v>
      </c>
      <c r="G55" s="80" t="str">
        <f>IF(Form_1040NR_2018!J25="","",Form_1040NR_2018!J25)</f>
        <v/>
      </c>
    </row>
    <row r="56" spans="1:7" s="69" customFormat="1" x14ac:dyDescent="0.45">
      <c r="A56" s="64" t="s">
        <v>365</v>
      </c>
      <c r="B56" s="65" t="s">
        <v>176</v>
      </c>
      <c r="C56" s="65" t="s">
        <v>181</v>
      </c>
      <c r="D56" s="65" t="s">
        <v>177</v>
      </c>
      <c r="E56" s="66"/>
      <c r="F56" s="67" t="s">
        <v>121</v>
      </c>
      <c r="G56" s="80" t="str">
        <f>IF(Form_1040NR_2018!J26="","",Form_1040NR_2018!J26)</f>
        <v/>
      </c>
    </row>
    <row r="57" spans="1:7" s="69" customFormat="1" ht="28.5" x14ac:dyDescent="0.45">
      <c r="A57" s="64" t="s">
        <v>402</v>
      </c>
      <c r="B57" s="65" t="s">
        <v>176</v>
      </c>
      <c r="C57" s="65" t="s">
        <v>181</v>
      </c>
      <c r="D57" s="65" t="s">
        <v>177</v>
      </c>
      <c r="E57" s="66"/>
      <c r="F57" s="67" t="s">
        <v>122</v>
      </c>
      <c r="G57" s="80" t="str">
        <f>IF(Form_1040NR_2018!J27="","",Form_1040NR_2018!J27)</f>
        <v/>
      </c>
    </row>
    <row r="58" spans="1:7" s="69" customFormat="1" ht="28.5" x14ac:dyDescent="0.45">
      <c r="A58" s="64" t="s">
        <v>403</v>
      </c>
      <c r="B58" s="65" t="s">
        <v>176</v>
      </c>
      <c r="C58" s="65" t="s">
        <v>181</v>
      </c>
      <c r="D58" s="65" t="s">
        <v>177</v>
      </c>
      <c r="E58" s="66"/>
      <c r="F58" s="67" t="s">
        <v>122</v>
      </c>
      <c r="G58" s="80" t="str">
        <f>IF(Form_1040NR_2018!J28="","",Form_1040NR_2018!J28)</f>
        <v/>
      </c>
    </row>
    <row r="59" spans="1:7" s="69" customFormat="1" ht="28.5" x14ac:dyDescent="0.45">
      <c r="A59" s="64" t="s">
        <v>404</v>
      </c>
      <c r="B59" s="65" t="s">
        <v>176</v>
      </c>
      <c r="C59" s="65" t="s">
        <v>181</v>
      </c>
      <c r="D59" s="65" t="s">
        <v>177</v>
      </c>
      <c r="E59" s="66"/>
      <c r="F59" s="67" t="s">
        <v>122</v>
      </c>
      <c r="G59" s="80" t="str">
        <f>IF(Form_1040NR_2018!J29="","",Form_1040NR_2018!J29)</f>
        <v/>
      </c>
    </row>
    <row r="60" spans="1:7" s="69" customFormat="1" x14ac:dyDescent="0.45">
      <c r="A60" s="64" t="s">
        <v>43</v>
      </c>
      <c r="B60" s="65" t="s">
        <v>171</v>
      </c>
      <c r="C60" s="65" t="s">
        <v>178</v>
      </c>
      <c r="D60" s="65" t="s">
        <v>177</v>
      </c>
      <c r="E60" s="66" t="s">
        <v>177</v>
      </c>
      <c r="F60" s="67" t="s">
        <v>123</v>
      </c>
      <c r="G60" s="298" t="str">
        <f>IF(Form_1040NR_2018!J30="","",Form_1040NR_2018!J30)</f>
        <v>No</v>
      </c>
    </row>
    <row r="61" spans="1:7" s="69" customFormat="1" x14ac:dyDescent="0.45">
      <c r="A61" s="64" t="s">
        <v>44</v>
      </c>
      <c r="B61" s="65" t="s">
        <v>171</v>
      </c>
      <c r="C61" s="65" t="s">
        <v>179</v>
      </c>
      <c r="D61" s="65" t="s">
        <v>177</v>
      </c>
      <c r="E61" s="66" t="s">
        <v>180</v>
      </c>
      <c r="F61" s="67" t="s">
        <v>124</v>
      </c>
      <c r="G61" s="298" t="str">
        <f>IF(Form_1040NR_2018!J31="","",Form_1040NR_2018!J31)</f>
        <v>Yes</v>
      </c>
    </row>
    <row r="62" spans="1:7" s="69" customFormat="1" x14ac:dyDescent="0.45">
      <c r="A62" s="64" t="s">
        <v>45</v>
      </c>
      <c r="B62" s="65" t="s">
        <v>176</v>
      </c>
      <c r="C62" s="65"/>
      <c r="D62" s="65" t="s">
        <v>177</v>
      </c>
      <c r="E62" s="66" t="s">
        <v>184</v>
      </c>
      <c r="F62" s="67" t="s">
        <v>125</v>
      </c>
      <c r="G62" s="298" t="str">
        <f>IF(Form_1040NR_2018!J32="","",Form_1040NR_2018!J32)</f>
        <v/>
      </c>
    </row>
    <row r="63" spans="1:7" s="69" customFormat="1" x14ac:dyDescent="0.45">
      <c r="A63" s="64" t="s">
        <v>46</v>
      </c>
      <c r="B63" s="65" t="s">
        <v>171</v>
      </c>
      <c r="C63" s="65" t="s">
        <v>178</v>
      </c>
      <c r="D63" s="65" t="s">
        <v>177</v>
      </c>
      <c r="E63" s="66" t="s">
        <v>177</v>
      </c>
      <c r="F63" s="67" t="s">
        <v>126</v>
      </c>
      <c r="G63" s="298" t="str">
        <f>IF(Form_1040NR_2018!J33="","",Form_1040NR_2018!J33)</f>
        <v>No</v>
      </c>
    </row>
    <row r="64" spans="1:7" s="69" customFormat="1" x14ac:dyDescent="0.45">
      <c r="A64" s="64" t="s">
        <v>47</v>
      </c>
      <c r="B64" s="65" t="s">
        <v>171</v>
      </c>
      <c r="C64" s="65" t="s">
        <v>179</v>
      </c>
      <c r="D64" s="65" t="s">
        <v>177</v>
      </c>
      <c r="E64" s="66" t="s">
        <v>180</v>
      </c>
      <c r="F64" s="67" t="s">
        <v>127</v>
      </c>
      <c r="G64" s="298" t="str">
        <f>IF(Form_1040NR_2018!J34="","",Form_1040NR_2018!J34)</f>
        <v>Yes</v>
      </c>
    </row>
    <row r="65" spans="1:9" ht="28.5" x14ac:dyDescent="0.45">
      <c r="A65" s="64" t="s">
        <v>48</v>
      </c>
      <c r="B65" s="65" t="s">
        <v>171</v>
      </c>
      <c r="C65" s="65" t="s">
        <v>178</v>
      </c>
      <c r="D65" s="65" t="s">
        <v>177</v>
      </c>
      <c r="E65" s="66" t="s">
        <v>177</v>
      </c>
      <c r="F65" s="67" t="s">
        <v>128</v>
      </c>
      <c r="G65" s="355" t="str">
        <f>IF(G63="No","No",IF(Form_1040NR_2018!J35="","",Form_1040NR_2018!J35))</f>
        <v>No</v>
      </c>
    </row>
    <row r="66" spans="1:9" ht="28.5" x14ac:dyDescent="0.45">
      <c r="A66" s="64" t="s">
        <v>49</v>
      </c>
      <c r="B66" s="65" t="s">
        <v>171</v>
      </c>
      <c r="C66" s="65" t="s">
        <v>179</v>
      </c>
      <c r="D66" s="65" t="s">
        <v>177</v>
      </c>
      <c r="E66" s="66" t="s">
        <v>180</v>
      </c>
      <c r="F66" s="67" t="s">
        <v>128</v>
      </c>
      <c r="G66" s="355" t="str">
        <f>IF(G63="No","No",IF(Form_1040NR_2018!J36="","",Form_1040NR_2018!J36))</f>
        <v>No</v>
      </c>
    </row>
    <row r="67" spans="1:9" x14ac:dyDescent="0.45">
      <c r="A67" s="64" t="s">
        <v>50</v>
      </c>
      <c r="B67" s="65" t="s">
        <v>171</v>
      </c>
      <c r="C67" s="65" t="s">
        <v>178</v>
      </c>
      <c r="D67" s="65" t="s">
        <v>177</v>
      </c>
      <c r="E67" s="66" t="s">
        <v>177</v>
      </c>
      <c r="F67" s="67" t="s">
        <v>129</v>
      </c>
      <c r="G67" s="298" t="str">
        <f>IF(Form_1040NR_2018!J37="","",Form_1040NR_2018!J37)</f>
        <v>No</v>
      </c>
    </row>
    <row r="68" spans="1:9" x14ac:dyDescent="0.45">
      <c r="A68" s="64" t="s">
        <v>51</v>
      </c>
      <c r="B68" s="65" t="s">
        <v>171</v>
      </c>
      <c r="C68" s="65" t="s">
        <v>179</v>
      </c>
      <c r="D68" s="65" t="s">
        <v>177</v>
      </c>
      <c r="E68" s="66" t="s">
        <v>180</v>
      </c>
      <c r="F68" s="67" t="s">
        <v>130</v>
      </c>
      <c r="G68" s="298" t="str">
        <f>IF(Form_1040NR_2018!J38="","",Form_1040NR_2018!J38)</f>
        <v>Yes</v>
      </c>
    </row>
    <row r="69" spans="1:9" x14ac:dyDescent="0.45">
      <c r="A69" s="64" t="s">
        <v>52</v>
      </c>
      <c r="B69" s="65" t="s">
        <v>171</v>
      </c>
      <c r="C69" s="65" t="s">
        <v>178</v>
      </c>
      <c r="D69" s="65" t="s">
        <v>177</v>
      </c>
      <c r="E69" s="66" t="s">
        <v>177</v>
      </c>
      <c r="F69" s="67" t="s">
        <v>131</v>
      </c>
      <c r="G69" s="355" t="str">
        <f>IF(G67="No","No",IF(Form_1040NR_2018!J39="","",Form_1040NR_2018!J39))</f>
        <v>No</v>
      </c>
    </row>
    <row r="70" spans="1:9" x14ac:dyDescent="0.45">
      <c r="A70" s="64" t="s">
        <v>53</v>
      </c>
      <c r="B70" s="65" t="s">
        <v>171</v>
      </c>
      <c r="C70" s="65" t="s">
        <v>179</v>
      </c>
      <c r="D70" s="65" t="s">
        <v>177</v>
      </c>
      <c r="E70" s="66" t="s">
        <v>180</v>
      </c>
      <c r="F70" s="67" t="s">
        <v>132</v>
      </c>
      <c r="G70" s="355" t="str">
        <f>IF(G67="No","No",IF(Form_1040NR_2018!J40="","",Form_1040NR_2018!J40))</f>
        <v>No</v>
      </c>
    </row>
    <row r="71" spans="1:9" x14ac:dyDescent="0.45">
      <c r="A71" s="64" t="s">
        <v>0</v>
      </c>
      <c r="B71" s="65" t="s">
        <v>176</v>
      </c>
      <c r="C71" s="65"/>
      <c r="D71" s="65" t="s">
        <v>177</v>
      </c>
      <c r="E71" s="66" t="s">
        <v>172</v>
      </c>
      <c r="F71" s="67" t="s">
        <v>133</v>
      </c>
      <c r="G71" s="80" t="str">
        <f>UPPER(General!C20)</f>
        <v/>
      </c>
    </row>
    <row r="72" spans="1:9" x14ac:dyDescent="0.45">
      <c r="A72" s="60" t="s">
        <v>1</v>
      </c>
      <c r="B72" s="48" t="s">
        <v>176</v>
      </c>
      <c r="C72" s="48"/>
      <c r="D72" s="48" t="s">
        <v>177</v>
      </c>
      <c r="E72" s="61" t="s">
        <v>189</v>
      </c>
      <c r="F72" s="62" t="s">
        <v>134</v>
      </c>
      <c r="G72" s="47">
        <f>VLOOKUP(E71,Lists!L3:M24,2,FALSE)</f>
        <v>11</v>
      </c>
      <c r="H72" s="48"/>
      <c r="I72" s="48"/>
    </row>
    <row r="73" spans="1:9" s="193" customFormat="1" x14ac:dyDescent="0.45">
      <c r="A73" s="295" t="s">
        <v>2</v>
      </c>
      <c r="B73" s="294" t="s">
        <v>176</v>
      </c>
      <c r="C73" s="294"/>
      <c r="D73" s="294" t="s">
        <v>177</v>
      </c>
      <c r="E73" s="296" t="s">
        <v>190</v>
      </c>
      <c r="F73" s="297" t="s">
        <v>135</v>
      </c>
      <c r="G73" s="293" t="s">
        <v>423</v>
      </c>
      <c r="H73" s="294" t="s">
        <v>362</v>
      </c>
      <c r="I73" s="294" t="s">
        <v>363</v>
      </c>
    </row>
    <row r="74" spans="1:9" x14ac:dyDescent="0.45">
      <c r="A74" s="60" t="s">
        <v>3</v>
      </c>
      <c r="B74" s="48" t="s">
        <v>176</v>
      </c>
      <c r="C74" s="48"/>
      <c r="D74" s="48" t="s">
        <v>177</v>
      </c>
      <c r="E74" s="61" t="s">
        <v>191</v>
      </c>
      <c r="F74" s="62" t="s">
        <v>136</v>
      </c>
      <c r="G74" s="82" t="str">
        <f>$G$16 &amp; "." &amp; $G$17</f>
        <v>0.0</v>
      </c>
      <c r="H74" s="48" t="s">
        <v>362</v>
      </c>
      <c r="I74" s="48" t="s">
        <v>363</v>
      </c>
    </row>
    <row r="75" spans="1:9" x14ac:dyDescent="0.45">
      <c r="A75" s="60" t="s">
        <v>4</v>
      </c>
      <c r="B75" s="48" t="s">
        <v>176</v>
      </c>
      <c r="C75" s="48"/>
      <c r="D75" s="48" t="s">
        <v>177</v>
      </c>
      <c r="E75" s="61" t="s">
        <v>191</v>
      </c>
      <c r="F75" s="62" t="s">
        <v>137</v>
      </c>
      <c r="G75" s="82" t="str">
        <f>$G$16 &amp; "." &amp; $G$17</f>
        <v>0.0</v>
      </c>
      <c r="H75" s="48" t="s">
        <v>362</v>
      </c>
      <c r="I75" s="48" t="s">
        <v>363</v>
      </c>
    </row>
    <row r="76" spans="1:9" x14ac:dyDescent="0.45">
      <c r="A76" s="64" t="s">
        <v>54</v>
      </c>
      <c r="B76" s="65" t="s">
        <v>171</v>
      </c>
      <c r="C76" s="65" t="s">
        <v>178</v>
      </c>
      <c r="D76" s="65" t="s">
        <v>177</v>
      </c>
      <c r="E76" s="66" t="s">
        <v>177</v>
      </c>
      <c r="F76" s="67" t="s">
        <v>138</v>
      </c>
      <c r="G76" s="80" t="str">
        <f>IF(Form_1040NR_2018!J41="","",Form_1040NR_2018!J41)</f>
        <v>No</v>
      </c>
    </row>
    <row r="77" spans="1:9" x14ac:dyDescent="0.45">
      <c r="A77" s="64" t="s">
        <v>55</v>
      </c>
      <c r="B77" s="65" t="s">
        <v>171</v>
      </c>
      <c r="C77" s="65" t="s">
        <v>179</v>
      </c>
      <c r="D77" s="65" t="s">
        <v>177</v>
      </c>
      <c r="E77" s="66" t="s">
        <v>180</v>
      </c>
      <c r="F77" s="67" t="s">
        <v>138</v>
      </c>
      <c r="G77" s="80" t="str">
        <f>IF(Form_1040NR_2018!J42="","",Form_1040NR_2018!J42)</f>
        <v>Yes</v>
      </c>
    </row>
    <row r="78" spans="1:9" x14ac:dyDescent="0.45">
      <c r="A78" s="64" t="s">
        <v>56</v>
      </c>
      <c r="B78" s="65" t="s">
        <v>171</v>
      </c>
      <c r="C78" s="65" t="s">
        <v>178</v>
      </c>
      <c r="D78" s="65" t="s">
        <v>177</v>
      </c>
      <c r="E78" s="66" t="s">
        <v>177</v>
      </c>
      <c r="F78" s="67" t="s">
        <v>139</v>
      </c>
      <c r="G78" s="298" t="str">
        <f>IF(Form_1040NR_2018!J43="","",Form_1040NR_2018!J43)</f>
        <v>No</v>
      </c>
    </row>
    <row r="79" spans="1:9" x14ac:dyDescent="0.45">
      <c r="A79" s="64" t="s">
        <v>57</v>
      </c>
      <c r="B79" s="65" t="s">
        <v>171</v>
      </c>
      <c r="C79" s="65" t="s">
        <v>179</v>
      </c>
      <c r="D79" s="65" t="s">
        <v>177</v>
      </c>
      <c r="E79" s="66" t="s">
        <v>180</v>
      </c>
      <c r="F79" s="67" t="s">
        <v>139</v>
      </c>
      <c r="G79" s="298" t="str">
        <f>IF(Form_1040NR_2018!J44="","",Form_1040NR_2018!J44)</f>
        <v>Yes</v>
      </c>
    </row>
    <row r="80" spans="1:9" ht="28.5" x14ac:dyDescent="0.45">
      <c r="A80" s="64" t="s">
        <v>395</v>
      </c>
      <c r="B80" s="65" t="s">
        <v>171</v>
      </c>
      <c r="C80" s="65">
        <v>1</v>
      </c>
      <c r="D80" s="65">
        <v>0</v>
      </c>
      <c r="E80" s="66" t="s">
        <v>185</v>
      </c>
      <c r="F80" s="67" t="s">
        <v>352</v>
      </c>
      <c r="G80" s="80" t="str">
        <f>IF(Form_1040NR_2018!J45="","",Form_1040NR_2018!J45)</f>
        <v/>
      </c>
    </row>
    <row r="81" spans="1:7" s="69" customFormat="1" ht="28.5" x14ac:dyDescent="0.45">
      <c r="A81" s="64" t="s">
        <v>396</v>
      </c>
      <c r="B81" s="65" t="s">
        <v>171</v>
      </c>
      <c r="C81" s="65">
        <v>1</v>
      </c>
      <c r="D81" s="65">
        <v>0</v>
      </c>
      <c r="E81" s="66" t="s">
        <v>185</v>
      </c>
      <c r="F81" s="67" t="s">
        <v>353</v>
      </c>
      <c r="G81" s="80" t="str">
        <f>IF(Form_1040NR_2018!J46="","",Form_1040NR_2018!J46)</f>
        <v/>
      </c>
    </row>
    <row r="82" spans="1:7" s="69" customFormat="1" x14ac:dyDescent="0.45">
      <c r="A82" s="86" t="s">
        <v>405</v>
      </c>
      <c r="B82" s="68"/>
      <c r="C82" s="68"/>
      <c r="D82" s="68"/>
      <c r="E82" s="70"/>
      <c r="F82" s="77"/>
      <c r="G82" s="80"/>
    </row>
    <row r="83" spans="1:7" s="69" customFormat="1" x14ac:dyDescent="0.45">
      <c r="A83" s="86" t="s">
        <v>406</v>
      </c>
      <c r="B83" s="68"/>
      <c r="C83" s="68"/>
      <c r="D83" s="68"/>
      <c r="E83" s="70"/>
      <c r="F83" s="77"/>
      <c r="G83" s="80"/>
    </row>
    <row r="84" spans="1:7" s="69" customFormat="1" x14ac:dyDescent="0.45">
      <c r="A84" s="86" t="s">
        <v>407</v>
      </c>
      <c r="B84" s="68"/>
      <c r="C84" s="68"/>
      <c r="D84" s="68"/>
      <c r="E84" s="70"/>
      <c r="F84" s="77"/>
      <c r="G84" s="80"/>
    </row>
  </sheetData>
  <sheetProtection password="DA43" sheet="1" objects="1" scenarios="1"/>
  <pageMargins left="0.7" right="0.7" top="0.75" bottom="0.75" header="0.3" footer="0.3"/>
  <pageSetup orientation="portrait" horizontalDpi="0" verticalDpi="0" r:id="rId1"/>
  <ignoredErrors>
    <ignoredError sqref="G19:G2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91"/>
  <sheetViews>
    <sheetView workbookViewId="0">
      <pane ySplit="1" topLeftCell="A2" activePane="bottomLeft" state="frozen"/>
      <selection pane="bottomLeft" activeCell="E22" sqref="E22"/>
    </sheetView>
  </sheetViews>
  <sheetFormatPr defaultRowHeight="14.25" x14ac:dyDescent="0.45"/>
  <cols>
    <col min="1" max="1" width="4.3984375" style="2" customWidth="1"/>
    <col min="2" max="2" width="4.86328125" style="3" bestFit="1" customWidth="1"/>
    <col min="3" max="3" width="29.46484375" style="36" customWidth="1"/>
    <col min="4" max="4" width="16.265625" style="7" customWidth="1"/>
    <col min="5" max="5" width="87.73046875" style="2" customWidth="1"/>
    <col min="6" max="6" width="8.6640625" style="10" customWidth="1"/>
    <col min="7" max="7" width="26.1328125" style="2" customWidth="1"/>
    <col min="8" max="16" width="3.9296875" style="21" customWidth="1"/>
    <col min="17" max="16384" width="9.06640625" style="2"/>
  </cols>
  <sheetData>
    <row r="1" spans="1:19" ht="22.5" customHeight="1" thickBot="1" x14ac:dyDescent="0.5">
      <c r="A1" s="4"/>
      <c r="B1" s="14" t="s">
        <v>214</v>
      </c>
      <c r="C1" s="29" t="s">
        <v>215</v>
      </c>
      <c r="D1" s="11" t="s">
        <v>166</v>
      </c>
      <c r="E1" s="12" t="s">
        <v>100</v>
      </c>
      <c r="F1" s="8" t="s">
        <v>224</v>
      </c>
      <c r="G1" s="8" t="s">
        <v>223</v>
      </c>
      <c r="H1" s="356" t="s">
        <v>222</v>
      </c>
      <c r="I1" s="356"/>
      <c r="J1" s="356"/>
      <c r="K1" s="356"/>
      <c r="L1" s="356"/>
      <c r="M1" s="356"/>
      <c r="N1" s="356"/>
      <c r="O1" s="356"/>
      <c r="P1" s="356"/>
      <c r="Q1" s="4"/>
      <c r="R1" s="4"/>
      <c r="S1" s="4"/>
    </row>
    <row r="2" spans="1:19" ht="22.5" customHeight="1" thickBot="1" x14ac:dyDescent="0.5">
      <c r="A2" s="4"/>
      <c r="B2" s="13">
        <v>1</v>
      </c>
      <c r="C2" s="30" t="s">
        <v>299</v>
      </c>
      <c r="D2" s="16" t="s">
        <v>302</v>
      </c>
      <c r="E2" s="24" t="s">
        <v>301</v>
      </c>
      <c r="F2" s="9">
        <v>2</v>
      </c>
      <c r="G2" s="4" t="s">
        <v>230</v>
      </c>
      <c r="H2" s="357" t="str">
        <f>IF(C2="New","2","")</f>
        <v>2</v>
      </c>
      <c r="I2" s="357"/>
      <c r="J2" s="357"/>
      <c r="K2" s="357"/>
      <c r="L2" s="357"/>
      <c r="M2" s="357"/>
      <c r="N2" s="357"/>
      <c r="O2" s="357"/>
      <c r="P2" s="357"/>
      <c r="Q2" s="4"/>
      <c r="R2" s="4"/>
      <c r="S2" s="4"/>
    </row>
    <row r="3" spans="1:19" ht="22.5" customHeight="1" thickBot="1" x14ac:dyDescent="0.5">
      <c r="A3" s="4"/>
      <c r="B3" s="13">
        <v>2</v>
      </c>
      <c r="C3" s="30" t="s">
        <v>221</v>
      </c>
      <c r="D3" s="15" t="s">
        <v>179</v>
      </c>
      <c r="E3" s="23" t="s">
        <v>58</v>
      </c>
      <c r="F3" s="9">
        <v>1</v>
      </c>
      <c r="G3" s="4" t="s">
        <v>231</v>
      </c>
      <c r="H3" s="357" t="str">
        <f>IF(C2="Renew","1","")</f>
        <v/>
      </c>
      <c r="I3" s="357"/>
      <c r="J3" s="357"/>
      <c r="K3" s="357"/>
      <c r="L3" s="357"/>
      <c r="M3" s="357"/>
      <c r="N3" s="357"/>
      <c r="O3" s="357"/>
      <c r="P3" s="357"/>
      <c r="Q3" s="4"/>
      <c r="R3" s="4"/>
      <c r="S3" s="4"/>
    </row>
    <row r="4" spans="1:19" ht="22.5" customHeight="1" thickBot="1" x14ac:dyDescent="0.5">
      <c r="A4" s="4"/>
      <c r="B4" s="13">
        <v>3</v>
      </c>
      <c r="C4" s="30" t="s">
        <v>178</v>
      </c>
      <c r="D4" s="15" t="s">
        <v>178</v>
      </c>
      <c r="E4" s="23" t="s">
        <v>59</v>
      </c>
      <c r="F4" s="9">
        <v>1</v>
      </c>
      <c r="G4" s="4" t="s">
        <v>232</v>
      </c>
      <c r="H4" s="357" t="str">
        <f t="shared" ref="H4:H9" si="0">IF(C3="Yes",F4,"")</f>
        <v/>
      </c>
      <c r="I4" s="357"/>
      <c r="J4" s="357"/>
      <c r="K4" s="357"/>
      <c r="L4" s="357"/>
      <c r="M4" s="357"/>
      <c r="N4" s="357"/>
      <c r="O4" s="357"/>
      <c r="P4" s="357"/>
      <c r="Q4" s="4"/>
      <c r="R4" s="4"/>
      <c r="S4" s="4"/>
    </row>
    <row r="5" spans="1:19" ht="22.5" customHeight="1" thickBot="1" x14ac:dyDescent="0.5">
      <c r="A5" s="4"/>
      <c r="B5" s="13">
        <v>4</v>
      </c>
      <c r="C5" s="30" t="s">
        <v>221</v>
      </c>
      <c r="D5" s="15" t="s">
        <v>179</v>
      </c>
      <c r="E5" s="23" t="s">
        <v>60</v>
      </c>
      <c r="F5" s="9">
        <v>2</v>
      </c>
      <c r="G5" s="4" t="s">
        <v>233</v>
      </c>
      <c r="H5" s="357">
        <f t="shared" si="0"/>
        <v>2</v>
      </c>
      <c r="I5" s="357"/>
      <c r="J5" s="357"/>
      <c r="K5" s="357"/>
      <c r="L5" s="357"/>
      <c r="M5" s="357"/>
      <c r="N5" s="357"/>
      <c r="O5" s="357"/>
      <c r="P5" s="357"/>
      <c r="Q5" s="4"/>
      <c r="R5" s="4"/>
      <c r="S5" s="4"/>
    </row>
    <row r="6" spans="1:19" ht="22.5" customHeight="1" thickBot="1" x14ac:dyDescent="0.5">
      <c r="A6" s="4"/>
      <c r="B6" s="13">
        <v>5</v>
      </c>
      <c r="C6" s="30" t="s">
        <v>221</v>
      </c>
      <c r="D6" s="15" t="s">
        <v>179</v>
      </c>
      <c r="E6" s="23" t="s">
        <v>61</v>
      </c>
      <c r="F6" s="9">
        <v>3</v>
      </c>
      <c r="G6" s="4" t="s">
        <v>234</v>
      </c>
      <c r="H6" s="357" t="str">
        <f t="shared" si="0"/>
        <v/>
      </c>
      <c r="I6" s="357"/>
      <c r="J6" s="357"/>
      <c r="K6" s="357"/>
      <c r="L6" s="357"/>
      <c r="M6" s="357"/>
      <c r="N6" s="357"/>
      <c r="O6" s="357"/>
      <c r="P6" s="357"/>
      <c r="Q6" s="4"/>
      <c r="R6" s="4"/>
      <c r="S6" s="4"/>
    </row>
    <row r="7" spans="1:19" ht="22.5" customHeight="1" thickBot="1" x14ac:dyDescent="0.5">
      <c r="A7" s="4"/>
      <c r="B7" s="13">
        <v>6</v>
      </c>
      <c r="C7" s="31"/>
      <c r="D7" s="15"/>
      <c r="E7" s="23" t="s">
        <v>62</v>
      </c>
      <c r="F7" s="9">
        <v>4</v>
      </c>
      <c r="G7" s="4" t="s">
        <v>235</v>
      </c>
      <c r="H7" s="357" t="str">
        <f t="shared" si="0"/>
        <v/>
      </c>
      <c r="I7" s="357"/>
      <c r="J7" s="357"/>
      <c r="K7" s="357"/>
      <c r="L7" s="357"/>
      <c r="M7" s="357"/>
      <c r="N7" s="357"/>
      <c r="O7" s="357"/>
      <c r="P7" s="357"/>
      <c r="Q7" s="4"/>
      <c r="R7" s="4"/>
      <c r="S7" s="4"/>
    </row>
    <row r="8" spans="1:19" ht="22.5" customHeight="1" thickBot="1" x14ac:dyDescent="0.5">
      <c r="A8" s="4"/>
      <c r="B8" s="13">
        <v>7</v>
      </c>
      <c r="C8" s="30" t="s">
        <v>221</v>
      </c>
      <c r="D8" s="15" t="s">
        <v>179</v>
      </c>
      <c r="E8" s="23" t="s">
        <v>63</v>
      </c>
      <c r="F8" s="9"/>
      <c r="G8" s="4" t="s">
        <v>236</v>
      </c>
      <c r="H8" s="357" t="str">
        <f t="shared" si="0"/>
        <v/>
      </c>
      <c r="I8" s="357"/>
      <c r="J8" s="357"/>
      <c r="K8" s="357"/>
      <c r="L8" s="357"/>
      <c r="M8" s="357"/>
      <c r="N8" s="357"/>
      <c r="O8" s="357"/>
      <c r="P8" s="357"/>
      <c r="Q8" s="4"/>
      <c r="R8" s="4"/>
      <c r="S8" s="4"/>
    </row>
    <row r="9" spans="1:19" ht="22.5" customHeight="1" thickBot="1" x14ac:dyDescent="0.5">
      <c r="A9" s="4"/>
      <c r="B9" s="13">
        <v>8</v>
      </c>
      <c r="C9" s="32"/>
      <c r="D9" s="15"/>
      <c r="E9" s="23" t="s">
        <v>64</v>
      </c>
      <c r="F9" s="9">
        <v>5</v>
      </c>
      <c r="G9" s="4" t="s">
        <v>237</v>
      </c>
      <c r="H9" s="357" t="str">
        <f t="shared" si="0"/>
        <v/>
      </c>
      <c r="I9" s="357"/>
      <c r="J9" s="357"/>
      <c r="K9" s="357"/>
      <c r="L9" s="357"/>
      <c r="M9" s="357"/>
      <c r="N9" s="357"/>
      <c r="O9" s="357"/>
      <c r="P9" s="357"/>
      <c r="Q9" s="4"/>
      <c r="R9" s="4"/>
      <c r="S9" s="4"/>
    </row>
    <row r="10" spans="1:19" ht="22.5" customHeight="1" thickBot="1" x14ac:dyDescent="0.5">
      <c r="A10" s="4"/>
      <c r="B10" s="13">
        <v>9</v>
      </c>
      <c r="C10" s="30" t="s">
        <v>221</v>
      </c>
      <c r="D10" s="15" t="s">
        <v>179</v>
      </c>
      <c r="E10" s="23" t="s">
        <v>65</v>
      </c>
      <c r="F10" s="9"/>
      <c r="G10" s="4" t="s">
        <v>238</v>
      </c>
      <c r="H10" s="357" t="str">
        <f>IF(C9="","",C9)</f>
        <v/>
      </c>
      <c r="I10" s="357"/>
      <c r="J10" s="357"/>
      <c r="K10" s="357"/>
      <c r="L10" s="357"/>
      <c r="M10" s="357"/>
      <c r="N10" s="357"/>
      <c r="O10" s="357"/>
      <c r="P10" s="357"/>
      <c r="Q10" s="4"/>
      <c r="R10" s="4"/>
      <c r="S10" s="4"/>
    </row>
    <row r="11" spans="1:19" ht="22.5" customHeight="1" thickBot="1" x14ac:dyDescent="0.5">
      <c r="A11" s="4"/>
      <c r="B11" s="13">
        <v>10</v>
      </c>
      <c r="C11" s="30" t="s">
        <v>221</v>
      </c>
      <c r="D11" s="15" t="s">
        <v>179</v>
      </c>
      <c r="E11" s="23" t="s">
        <v>66</v>
      </c>
      <c r="F11" s="9">
        <v>6</v>
      </c>
      <c r="G11" s="4" t="s">
        <v>239</v>
      </c>
      <c r="H11" s="357" t="str">
        <f>IF(C10="Yes",F11,"")</f>
        <v/>
      </c>
      <c r="I11" s="357"/>
      <c r="J11" s="357"/>
      <c r="K11" s="357"/>
      <c r="L11" s="357"/>
      <c r="M11" s="357"/>
      <c r="N11" s="357"/>
      <c r="O11" s="357"/>
      <c r="P11" s="357"/>
      <c r="Q11" s="4"/>
      <c r="R11" s="4"/>
      <c r="S11" s="4"/>
    </row>
    <row r="12" spans="1:19" ht="22.5" customHeight="1" thickBot="1" x14ac:dyDescent="0.5">
      <c r="A12" s="4"/>
      <c r="B12" s="13">
        <v>11</v>
      </c>
      <c r="C12" s="30" t="s">
        <v>178</v>
      </c>
      <c r="D12" s="15" t="s">
        <v>179</v>
      </c>
      <c r="E12" s="23" t="s">
        <v>67</v>
      </c>
      <c r="F12" s="9">
        <v>7</v>
      </c>
      <c r="G12" s="4" t="s">
        <v>240</v>
      </c>
      <c r="H12" s="357" t="str">
        <f>IF(C11="Yes",F12,"")</f>
        <v/>
      </c>
      <c r="I12" s="357"/>
      <c r="J12" s="357"/>
      <c r="K12" s="357"/>
      <c r="L12" s="357"/>
      <c r="M12" s="357"/>
      <c r="N12" s="357"/>
      <c r="O12" s="357"/>
      <c r="P12" s="357"/>
      <c r="Q12" s="4"/>
      <c r="R12" s="4"/>
      <c r="S12" s="4"/>
    </row>
    <row r="13" spans="1:19" ht="22.5" customHeight="1" thickBot="1" x14ac:dyDescent="0.5">
      <c r="A13" s="4"/>
      <c r="B13" s="13">
        <v>12</v>
      </c>
      <c r="C13" s="31"/>
      <c r="D13" s="15"/>
      <c r="E13" s="23" t="s">
        <v>68</v>
      </c>
      <c r="F13" s="9">
        <v>8</v>
      </c>
      <c r="G13" s="4" t="s">
        <v>290</v>
      </c>
      <c r="H13" s="357">
        <f>IF(C12="Yes",F13,"")</f>
        <v>8</v>
      </c>
      <c r="I13" s="357"/>
      <c r="J13" s="357"/>
      <c r="K13" s="357"/>
      <c r="L13" s="357"/>
      <c r="M13" s="357"/>
      <c r="N13" s="357"/>
      <c r="O13" s="357"/>
      <c r="P13" s="357"/>
      <c r="Q13" s="4"/>
      <c r="R13" s="4"/>
      <c r="S13" s="4"/>
    </row>
    <row r="14" spans="1:19" ht="22.5" customHeight="1" thickBot="1" x14ac:dyDescent="0.5">
      <c r="A14" s="4"/>
      <c r="B14" s="13">
        <v>13</v>
      </c>
      <c r="C14" s="31"/>
      <c r="D14" s="15"/>
      <c r="E14" s="23" t="s">
        <v>69</v>
      </c>
      <c r="F14" s="9"/>
      <c r="G14" s="4" t="s">
        <v>291</v>
      </c>
      <c r="H14" s="357" t="str">
        <f t="shared" ref="H14:H26" si="1">UPPER(IF(C13="","",C13))</f>
        <v/>
      </c>
      <c r="I14" s="357"/>
      <c r="J14" s="357"/>
      <c r="K14" s="357"/>
      <c r="L14" s="357"/>
      <c r="M14" s="357"/>
      <c r="N14" s="357"/>
      <c r="O14" s="357"/>
      <c r="P14" s="357"/>
      <c r="Q14" s="4"/>
      <c r="R14" s="4"/>
      <c r="S14" s="4"/>
    </row>
    <row r="15" spans="1:19" ht="22.5" customHeight="1" thickBot="1" x14ac:dyDescent="0.5">
      <c r="A15" s="4"/>
      <c r="B15" s="13">
        <v>14</v>
      </c>
      <c r="C15" s="31"/>
      <c r="D15" s="15"/>
      <c r="E15" s="23" t="s">
        <v>198</v>
      </c>
      <c r="F15" s="9"/>
      <c r="G15" s="4" t="s">
        <v>241</v>
      </c>
      <c r="H15" s="357" t="str">
        <f t="shared" si="1"/>
        <v/>
      </c>
      <c r="I15" s="357"/>
      <c r="J15" s="357"/>
      <c r="K15" s="357"/>
      <c r="L15" s="357"/>
      <c r="M15" s="357"/>
      <c r="N15" s="357"/>
      <c r="O15" s="357"/>
      <c r="P15" s="357"/>
      <c r="Q15" s="4"/>
      <c r="R15" s="4"/>
      <c r="S15" s="4"/>
    </row>
    <row r="16" spans="1:19" ht="22.5" customHeight="1" thickBot="1" x14ac:dyDescent="0.5">
      <c r="A16" s="4"/>
      <c r="B16" s="13">
        <v>15</v>
      </c>
      <c r="C16" s="31" t="s">
        <v>225</v>
      </c>
      <c r="D16" s="15" t="s">
        <v>200</v>
      </c>
      <c r="E16" s="23" t="s">
        <v>70</v>
      </c>
      <c r="F16" s="9"/>
      <c r="G16" s="4" t="s">
        <v>242</v>
      </c>
      <c r="H16" s="357" t="str">
        <f t="shared" si="1"/>
        <v/>
      </c>
      <c r="I16" s="357"/>
      <c r="J16" s="357"/>
      <c r="K16" s="357"/>
      <c r="L16" s="357"/>
      <c r="M16" s="357"/>
      <c r="N16" s="357"/>
      <c r="O16" s="357"/>
      <c r="P16" s="357"/>
      <c r="Q16" s="4"/>
      <c r="R16" s="4"/>
      <c r="S16" s="4"/>
    </row>
    <row r="17" spans="1:19" ht="22.5" customHeight="1" thickBot="1" x14ac:dyDescent="0.5">
      <c r="A17" s="4"/>
      <c r="B17" s="13">
        <v>16</v>
      </c>
      <c r="C17" s="31" t="s">
        <v>226</v>
      </c>
      <c r="D17" s="15" t="s">
        <v>199</v>
      </c>
      <c r="E17" s="23" t="s">
        <v>71</v>
      </c>
      <c r="F17" s="9"/>
      <c r="G17" s="4" t="s">
        <v>243</v>
      </c>
      <c r="H17" s="357" t="str">
        <f t="shared" si="1"/>
        <v>JIMMY</v>
      </c>
      <c r="I17" s="357"/>
      <c r="J17" s="357"/>
      <c r="K17" s="357"/>
      <c r="L17" s="357"/>
      <c r="M17" s="357"/>
      <c r="N17" s="357"/>
      <c r="O17" s="357"/>
      <c r="P17" s="357"/>
      <c r="Q17" s="4"/>
      <c r="R17" s="4"/>
      <c r="S17" s="4"/>
    </row>
    <row r="18" spans="1:19" ht="22.5" customHeight="1" thickBot="1" x14ac:dyDescent="0.5">
      <c r="A18" s="4"/>
      <c r="B18" s="13">
        <v>17</v>
      </c>
      <c r="C18" s="31" t="s">
        <v>227</v>
      </c>
      <c r="D18" s="15" t="s">
        <v>168</v>
      </c>
      <c r="E18" s="23" t="s">
        <v>72</v>
      </c>
      <c r="F18" s="9"/>
      <c r="G18" s="4" t="s">
        <v>244</v>
      </c>
      <c r="H18" s="357" t="str">
        <f t="shared" si="1"/>
        <v>WILLIAM</v>
      </c>
      <c r="I18" s="357"/>
      <c r="J18" s="357"/>
      <c r="K18" s="357"/>
      <c r="L18" s="357"/>
      <c r="M18" s="357"/>
      <c r="N18" s="357"/>
      <c r="O18" s="357"/>
      <c r="P18" s="357"/>
      <c r="Q18" s="4"/>
      <c r="R18" s="4"/>
      <c r="S18" s="4"/>
    </row>
    <row r="19" spans="1:19" ht="22.5" customHeight="1" thickBot="1" x14ac:dyDescent="0.5">
      <c r="A19" s="4"/>
      <c r="B19" s="13">
        <v>18</v>
      </c>
      <c r="C19" s="31"/>
      <c r="D19" s="15"/>
      <c r="E19" s="23" t="s">
        <v>73</v>
      </c>
      <c r="F19" s="9"/>
      <c r="G19" s="4" t="s">
        <v>245</v>
      </c>
      <c r="H19" s="357" t="str">
        <f t="shared" si="1"/>
        <v>SMITH</v>
      </c>
      <c r="I19" s="357"/>
      <c r="J19" s="357"/>
      <c r="K19" s="357"/>
      <c r="L19" s="357"/>
      <c r="M19" s="357"/>
      <c r="N19" s="357"/>
      <c r="O19" s="357"/>
      <c r="P19" s="357"/>
      <c r="Q19" s="4"/>
      <c r="R19" s="4"/>
      <c r="S19" s="4"/>
    </row>
    <row r="20" spans="1:19" ht="22.5" customHeight="1" thickBot="1" x14ac:dyDescent="0.5">
      <c r="A20" s="4"/>
      <c r="B20" s="13">
        <v>19</v>
      </c>
      <c r="C20" s="31"/>
      <c r="D20" s="15"/>
      <c r="E20" s="23" t="s">
        <v>74</v>
      </c>
      <c r="F20" s="9"/>
      <c r="G20" s="4" t="s">
        <v>246</v>
      </c>
      <c r="H20" s="357" t="str">
        <f t="shared" si="1"/>
        <v/>
      </c>
      <c r="I20" s="357"/>
      <c r="J20" s="357"/>
      <c r="K20" s="357"/>
      <c r="L20" s="357"/>
      <c r="M20" s="357"/>
      <c r="N20" s="357"/>
      <c r="O20" s="357"/>
      <c r="P20" s="357"/>
      <c r="Q20" s="4"/>
      <c r="R20" s="4"/>
      <c r="S20" s="4"/>
    </row>
    <row r="21" spans="1:19" ht="22.5" customHeight="1" thickBot="1" x14ac:dyDescent="0.5">
      <c r="A21" s="4"/>
      <c r="B21" s="13">
        <v>20</v>
      </c>
      <c r="C21" s="31"/>
      <c r="D21" s="15"/>
      <c r="E21" s="23" t="s">
        <v>75</v>
      </c>
      <c r="F21" s="9"/>
      <c r="G21" s="4" t="s">
        <v>247</v>
      </c>
      <c r="H21" s="357" t="str">
        <f t="shared" si="1"/>
        <v/>
      </c>
      <c r="I21" s="357"/>
      <c r="J21" s="357"/>
      <c r="K21" s="357"/>
      <c r="L21" s="357"/>
      <c r="M21" s="357"/>
      <c r="N21" s="357"/>
      <c r="O21" s="357"/>
      <c r="P21" s="357"/>
      <c r="Q21" s="4"/>
      <c r="R21" s="4"/>
      <c r="S21" s="4"/>
    </row>
    <row r="22" spans="1:19" ht="22.5" customHeight="1" thickBot="1" x14ac:dyDescent="0.5">
      <c r="A22" s="4"/>
      <c r="B22" s="13">
        <v>21</v>
      </c>
      <c r="C22" s="31" t="s">
        <v>228</v>
      </c>
      <c r="D22" s="15" t="s">
        <v>170</v>
      </c>
      <c r="E22" s="23" t="s">
        <v>196</v>
      </c>
      <c r="F22" s="9"/>
      <c r="G22" s="4" t="s">
        <v>248</v>
      </c>
      <c r="H22" s="357" t="str">
        <f t="shared" si="1"/>
        <v/>
      </c>
      <c r="I22" s="357"/>
      <c r="J22" s="357"/>
      <c r="K22" s="357"/>
      <c r="L22" s="357"/>
      <c r="M22" s="357"/>
      <c r="N22" s="357"/>
      <c r="O22" s="357"/>
      <c r="P22" s="357"/>
      <c r="Q22" s="4"/>
      <c r="R22" s="4"/>
      <c r="S22" s="4"/>
    </row>
    <row r="23" spans="1:19" ht="30" customHeight="1" thickBot="1" x14ac:dyDescent="0.5">
      <c r="A23" s="4"/>
      <c r="B23" s="13">
        <v>22</v>
      </c>
      <c r="C23" s="33" t="s">
        <v>229</v>
      </c>
      <c r="D23" s="15" t="s">
        <v>218</v>
      </c>
      <c r="E23" s="23" t="s">
        <v>76</v>
      </c>
      <c r="F23" s="9"/>
      <c r="G23" s="4" t="s">
        <v>249</v>
      </c>
      <c r="H23" s="357" t="str">
        <f t="shared" si="1"/>
        <v>17 LONDON ROAD</v>
      </c>
      <c r="I23" s="357"/>
      <c r="J23" s="357"/>
      <c r="K23" s="357"/>
      <c r="L23" s="357"/>
      <c r="M23" s="357"/>
      <c r="N23" s="357"/>
      <c r="O23" s="357"/>
      <c r="P23" s="357"/>
      <c r="Q23" s="4"/>
      <c r="R23" s="4"/>
      <c r="S23" s="4"/>
    </row>
    <row r="24" spans="1:19" ht="38.65" customHeight="1" thickBot="1" x14ac:dyDescent="0.5">
      <c r="A24" s="4"/>
      <c r="B24" s="13">
        <v>23</v>
      </c>
      <c r="C24" s="31"/>
      <c r="D24" s="15"/>
      <c r="E24" s="23" t="s">
        <v>217</v>
      </c>
      <c r="F24" s="9"/>
      <c r="G24" s="4" t="s">
        <v>250</v>
      </c>
      <c r="H24" s="358" t="str">
        <f t="shared" si="1"/>
        <v>BARNET, LONDON, UNITED KINGDOM, EN4 6TH</v>
      </c>
      <c r="I24" s="358"/>
      <c r="J24" s="358"/>
      <c r="K24" s="358"/>
      <c r="L24" s="358"/>
      <c r="M24" s="358"/>
      <c r="N24" s="358"/>
      <c r="O24" s="358"/>
      <c r="P24" s="358"/>
      <c r="Q24" s="4"/>
      <c r="R24" s="4"/>
      <c r="S24" s="4"/>
    </row>
    <row r="25" spans="1:19" ht="22.5" customHeight="1" thickBot="1" x14ac:dyDescent="0.5">
      <c r="A25" s="4"/>
      <c r="B25" s="13">
        <v>24</v>
      </c>
      <c r="C25" s="31"/>
      <c r="D25" s="15"/>
      <c r="E25" s="23" t="s">
        <v>77</v>
      </c>
      <c r="F25" s="9"/>
      <c r="G25" s="4" t="s">
        <v>251</v>
      </c>
      <c r="H25" s="357" t="str">
        <f t="shared" si="1"/>
        <v/>
      </c>
      <c r="I25" s="357"/>
      <c r="J25" s="357"/>
      <c r="K25" s="357"/>
      <c r="L25" s="357"/>
      <c r="M25" s="357"/>
      <c r="N25" s="357"/>
      <c r="O25" s="357"/>
      <c r="P25" s="357"/>
      <c r="Q25" s="4"/>
      <c r="R25" s="4"/>
      <c r="S25" s="4"/>
    </row>
    <row r="26" spans="1:19" ht="22.5" customHeight="1" thickBot="1" x14ac:dyDescent="0.5">
      <c r="A26" s="4"/>
      <c r="B26" s="13">
        <v>25</v>
      </c>
      <c r="C26" s="34">
        <v>25411</v>
      </c>
      <c r="D26" s="15" t="s">
        <v>216</v>
      </c>
      <c r="E26" s="23" t="s">
        <v>78</v>
      </c>
      <c r="F26" s="9"/>
      <c r="G26" s="4" t="s">
        <v>252</v>
      </c>
      <c r="H26" s="357" t="str">
        <f t="shared" si="1"/>
        <v/>
      </c>
      <c r="I26" s="357"/>
      <c r="J26" s="357"/>
      <c r="K26" s="357"/>
      <c r="L26" s="357"/>
      <c r="M26" s="357"/>
      <c r="N26" s="357"/>
      <c r="O26" s="357"/>
      <c r="P26" s="357"/>
      <c r="Q26" s="4"/>
      <c r="R26" s="4"/>
      <c r="S26" s="4"/>
    </row>
    <row r="27" spans="1:19" ht="22.5" customHeight="1" thickBot="1" x14ac:dyDescent="0.5">
      <c r="A27" s="4"/>
      <c r="B27" s="13">
        <v>26</v>
      </c>
      <c r="C27" s="31"/>
      <c r="D27" s="15" t="s">
        <v>172</v>
      </c>
      <c r="E27" s="23" t="s">
        <v>79</v>
      </c>
      <c r="F27" s="9"/>
      <c r="G27" s="4" t="s">
        <v>253</v>
      </c>
      <c r="H27" s="359">
        <f>IF(C26="","",C26)</f>
        <v>25411</v>
      </c>
      <c r="I27" s="359"/>
      <c r="J27" s="359"/>
      <c r="K27" s="359"/>
      <c r="L27" s="359"/>
      <c r="M27" s="359"/>
      <c r="N27" s="359"/>
      <c r="O27" s="359"/>
      <c r="P27" s="359"/>
      <c r="Q27" s="4"/>
      <c r="R27" s="4"/>
      <c r="S27" s="4"/>
    </row>
    <row r="28" spans="1:19" ht="22.5" customHeight="1" thickBot="1" x14ac:dyDescent="0.5">
      <c r="A28" s="4"/>
      <c r="B28" s="13">
        <v>27</v>
      </c>
      <c r="C28" s="31"/>
      <c r="D28" s="15" t="s">
        <v>173</v>
      </c>
      <c r="E28" s="23" t="s">
        <v>80</v>
      </c>
      <c r="F28" s="9"/>
      <c r="G28" s="4" t="s">
        <v>254</v>
      </c>
      <c r="H28" s="357" t="str">
        <f>UPPER(IF(C27="","",C27))</f>
        <v/>
      </c>
      <c r="I28" s="357"/>
      <c r="J28" s="357"/>
      <c r="K28" s="357"/>
      <c r="L28" s="357"/>
      <c r="M28" s="357"/>
      <c r="N28" s="357"/>
      <c r="O28" s="357"/>
      <c r="P28" s="357"/>
      <c r="Q28" s="4"/>
      <c r="R28" s="4"/>
      <c r="S28" s="4"/>
    </row>
    <row r="29" spans="1:19" ht="22.5" customHeight="1" thickBot="1" x14ac:dyDescent="0.5">
      <c r="A29" s="4"/>
      <c r="B29" s="13">
        <v>28</v>
      </c>
      <c r="C29" s="30" t="s">
        <v>210</v>
      </c>
      <c r="D29" s="15" t="s">
        <v>178</v>
      </c>
      <c r="E29" s="23" t="s">
        <v>297</v>
      </c>
      <c r="F29" s="9"/>
      <c r="G29" s="4" t="s">
        <v>255</v>
      </c>
      <c r="H29" s="357" t="str">
        <f>UPPER(IF(C28="","",C28))</f>
        <v/>
      </c>
      <c r="I29" s="357"/>
      <c r="J29" s="357"/>
      <c r="K29" s="357"/>
      <c r="L29" s="357"/>
      <c r="M29" s="357"/>
      <c r="N29" s="357"/>
      <c r="O29" s="357"/>
      <c r="P29" s="357"/>
      <c r="Q29" s="4"/>
      <c r="R29" s="4"/>
      <c r="S29" s="4"/>
    </row>
    <row r="30" spans="1:19" ht="22.5" customHeight="1" thickBot="1" x14ac:dyDescent="0.5">
      <c r="A30" s="4"/>
      <c r="B30" s="13">
        <v>29</v>
      </c>
      <c r="C30" s="31"/>
      <c r="D30" s="15" t="s">
        <v>172</v>
      </c>
      <c r="E30" s="23" t="s">
        <v>81</v>
      </c>
      <c r="F30" s="9">
        <v>1</v>
      </c>
      <c r="G30" s="4" t="s">
        <v>256</v>
      </c>
      <c r="H30" s="357" t="str">
        <f>IF(C29="Male","1","")</f>
        <v>1</v>
      </c>
      <c r="I30" s="357"/>
      <c r="J30" s="357"/>
      <c r="K30" s="357"/>
      <c r="L30" s="357"/>
      <c r="M30" s="357"/>
      <c r="N30" s="357"/>
      <c r="O30" s="357"/>
      <c r="P30" s="357"/>
      <c r="Q30" s="4"/>
      <c r="R30" s="4"/>
      <c r="S30" s="4"/>
    </row>
    <row r="31" spans="1:19" ht="22.5" customHeight="1" thickBot="1" x14ac:dyDescent="0.5">
      <c r="A31" s="4"/>
      <c r="B31" s="13">
        <v>30</v>
      </c>
      <c r="C31" s="31"/>
      <c r="D31" s="15"/>
      <c r="E31" s="23" t="s">
        <v>82</v>
      </c>
      <c r="F31" s="9">
        <v>2</v>
      </c>
      <c r="G31" s="4" t="s">
        <v>257</v>
      </c>
      <c r="H31" s="357" t="str">
        <f>IF(C29="Female","2","")</f>
        <v/>
      </c>
      <c r="I31" s="357"/>
      <c r="J31" s="357"/>
      <c r="K31" s="357"/>
      <c r="L31" s="357"/>
      <c r="M31" s="357"/>
      <c r="N31" s="357"/>
      <c r="O31" s="357"/>
      <c r="P31" s="357"/>
      <c r="Q31" s="4"/>
      <c r="R31" s="4"/>
      <c r="S31" s="4"/>
    </row>
    <row r="32" spans="1:19" ht="22.5" customHeight="1" thickBot="1" x14ac:dyDescent="0.5">
      <c r="A32" s="4"/>
      <c r="B32" s="13">
        <v>31</v>
      </c>
      <c r="C32" s="31"/>
      <c r="D32" s="15"/>
      <c r="E32" s="23" t="s">
        <v>83</v>
      </c>
      <c r="F32" s="9"/>
      <c r="G32" s="4" t="s">
        <v>258</v>
      </c>
      <c r="H32" s="357" t="str">
        <f>UPPER(IF(C30="","",C30))</f>
        <v/>
      </c>
      <c r="I32" s="357"/>
      <c r="J32" s="357"/>
      <c r="K32" s="357"/>
      <c r="L32" s="357"/>
      <c r="M32" s="357"/>
      <c r="N32" s="357"/>
      <c r="O32" s="357"/>
      <c r="P32" s="357"/>
      <c r="Q32" s="4"/>
      <c r="R32" s="4"/>
      <c r="S32" s="4"/>
    </row>
    <row r="33" spans="1:19" ht="22.5" customHeight="1" thickBot="1" x14ac:dyDescent="0.5">
      <c r="A33" s="4"/>
      <c r="B33" s="13">
        <v>32</v>
      </c>
      <c r="C33" s="30" t="s">
        <v>303</v>
      </c>
      <c r="D33" s="15" t="s">
        <v>178</v>
      </c>
      <c r="E33" s="23" t="s">
        <v>307</v>
      </c>
      <c r="F33" s="9"/>
      <c r="G33" s="4" t="s">
        <v>259</v>
      </c>
      <c r="H33" s="357" t="str">
        <f>UPPER(IF(C31="","",C31))</f>
        <v/>
      </c>
      <c r="I33" s="357"/>
      <c r="J33" s="357"/>
      <c r="K33" s="357"/>
      <c r="L33" s="357"/>
      <c r="M33" s="357"/>
      <c r="N33" s="357"/>
      <c r="O33" s="357"/>
      <c r="P33" s="357"/>
      <c r="Q33" s="4"/>
      <c r="R33" s="4"/>
      <c r="S33" s="4"/>
    </row>
    <row r="34" spans="1:19" ht="22.5" customHeight="1" thickBot="1" x14ac:dyDescent="0.5">
      <c r="A34" s="4"/>
      <c r="B34" s="13">
        <v>33</v>
      </c>
      <c r="C34" s="31"/>
      <c r="D34" s="15"/>
      <c r="E34" s="23" t="s">
        <v>84</v>
      </c>
      <c r="F34" s="9"/>
      <c r="G34" s="4" t="s">
        <v>260</v>
      </c>
      <c r="H34" s="357" t="str">
        <f>UPPER(IF(C32="","",C32))</f>
        <v/>
      </c>
      <c r="I34" s="357"/>
      <c r="J34" s="357"/>
      <c r="K34" s="357"/>
      <c r="L34" s="357"/>
      <c r="M34" s="357"/>
      <c r="N34" s="357"/>
      <c r="O34" s="357"/>
      <c r="P34" s="357"/>
      <c r="Q34" s="4"/>
      <c r="R34" s="4"/>
      <c r="S34" s="4"/>
    </row>
    <row r="35" spans="1:19" ht="22.5" customHeight="1" thickBot="1" x14ac:dyDescent="0.5">
      <c r="A35" s="4"/>
      <c r="B35" s="13">
        <v>34</v>
      </c>
      <c r="C35" s="31"/>
      <c r="D35" s="15" t="s">
        <v>201</v>
      </c>
      <c r="E35" s="23" t="s">
        <v>192</v>
      </c>
      <c r="F35" s="9">
        <v>1</v>
      </c>
      <c r="G35" s="4" t="s">
        <v>261</v>
      </c>
      <c r="H35" s="357">
        <f>IF(C33="Passport",F35,"")</f>
        <v>1</v>
      </c>
      <c r="I35" s="357"/>
      <c r="J35" s="357"/>
      <c r="K35" s="357"/>
      <c r="L35" s="357"/>
      <c r="M35" s="357"/>
      <c r="N35" s="357"/>
      <c r="O35" s="357"/>
      <c r="P35" s="357"/>
      <c r="Q35" s="4"/>
      <c r="R35" s="4"/>
      <c r="S35" s="4"/>
    </row>
    <row r="36" spans="1:19" ht="22.5" customHeight="1" thickBot="1" x14ac:dyDescent="0.5">
      <c r="A36" s="4"/>
      <c r="B36" s="13">
        <v>35</v>
      </c>
      <c r="C36" s="31"/>
      <c r="D36" s="15" t="s">
        <v>169</v>
      </c>
      <c r="E36" s="23" t="s">
        <v>193</v>
      </c>
      <c r="F36" s="9">
        <v>2</v>
      </c>
      <c r="G36" s="4" t="s">
        <v>262</v>
      </c>
      <c r="H36" s="357" t="str">
        <f>IF(C33="Driver’s license/State I.D.",F36,"")</f>
        <v/>
      </c>
      <c r="I36" s="357"/>
      <c r="J36" s="357"/>
      <c r="K36" s="357"/>
      <c r="L36" s="357"/>
      <c r="M36" s="357"/>
      <c r="N36" s="357"/>
      <c r="O36" s="357"/>
      <c r="P36" s="357"/>
      <c r="Q36" s="4"/>
      <c r="R36" s="4"/>
      <c r="S36" s="4"/>
    </row>
    <row r="37" spans="1:19" ht="22.5" customHeight="1" thickBot="1" x14ac:dyDescent="0.5">
      <c r="A37" s="4"/>
      <c r="B37" s="13">
        <v>36</v>
      </c>
      <c r="C37" s="31"/>
      <c r="D37" s="15" t="s">
        <v>202</v>
      </c>
      <c r="E37" s="23" t="s">
        <v>194</v>
      </c>
      <c r="F37" s="9">
        <v>3</v>
      </c>
      <c r="G37" s="4" t="s">
        <v>263</v>
      </c>
      <c r="H37" s="357" t="str">
        <f>IF(C33="USCIS documentation",F37,"")</f>
        <v/>
      </c>
      <c r="I37" s="357"/>
      <c r="J37" s="357"/>
      <c r="K37" s="357"/>
      <c r="L37" s="357"/>
      <c r="M37" s="357"/>
      <c r="N37" s="357"/>
      <c r="O37" s="357"/>
      <c r="P37" s="357"/>
      <c r="Q37" s="4"/>
      <c r="R37" s="4"/>
      <c r="S37" s="4"/>
    </row>
    <row r="38" spans="1:19" ht="22.5" customHeight="1" thickBot="1" x14ac:dyDescent="0.5">
      <c r="A38" s="4"/>
      <c r="B38" s="13">
        <v>37</v>
      </c>
      <c r="C38" s="31"/>
      <c r="D38" s="15"/>
      <c r="E38" s="23" t="s">
        <v>195</v>
      </c>
      <c r="F38" s="9">
        <v>4</v>
      </c>
      <c r="G38" s="4" t="s">
        <v>264</v>
      </c>
      <c r="H38" s="357" t="str">
        <f>UPPER(IF(C33="Other",F38,""))</f>
        <v/>
      </c>
      <c r="I38" s="357"/>
      <c r="J38" s="357"/>
      <c r="K38" s="357"/>
      <c r="L38" s="357"/>
      <c r="M38" s="357"/>
      <c r="N38" s="357"/>
      <c r="O38" s="357"/>
      <c r="P38" s="357"/>
      <c r="Q38" s="4"/>
      <c r="R38" s="4"/>
      <c r="S38" s="4"/>
    </row>
    <row r="39" spans="1:19" ht="43.5" customHeight="1" thickBot="1" x14ac:dyDescent="0.5">
      <c r="A39" s="4"/>
      <c r="B39" s="13">
        <v>38</v>
      </c>
      <c r="C39" s="30" t="s">
        <v>178</v>
      </c>
      <c r="D39" s="15"/>
      <c r="E39" s="26" t="s">
        <v>315</v>
      </c>
      <c r="F39" s="9"/>
      <c r="G39" s="4" t="s">
        <v>265</v>
      </c>
      <c r="H39" s="357" t="str">
        <f>UPPER(IF(C34="","",C34))</f>
        <v/>
      </c>
      <c r="I39" s="357"/>
      <c r="J39" s="357"/>
      <c r="K39" s="357"/>
      <c r="L39" s="357"/>
      <c r="M39" s="357"/>
      <c r="N39" s="357"/>
      <c r="O39" s="357"/>
      <c r="P39" s="357"/>
      <c r="Q39" s="4"/>
      <c r="R39" s="4"/>
      <c r="S39" s="4"/>
    </row>
    <row r="40" spans="1:19" ht="22.5" customHeight="1" thickBot="1" x14ac:dyDescent="0.5">
      <c r="A40" s="4"/>
      <c r="B40" s="13">
        <v>39</v>
      </c>
      <c r="C40" s="31">
        <v>123456789</v>
      </c>
      <c r="D40" s="15" t="s">
        <v>213</v>
      </c>
      <c r="E40" s="23" t="s">
        <v>293</v>
      </c>
      <c r="F40" s="9"/>
      <c r="G40" s="4" t="s">
        <v>266</v>
      </c>
      <c r="H40" s="357" t="str">
        <f>UPPER(IF(C35="","",C35))</f>
        <v/>
      </c>
      <c r="I40" s="357"/>
      <c r="J40" s="357"/>
      <c r="K40" s="357"/>
      <c r="L40" s="357"/>
      <c r="M40" s="357"/>
      <c r="N40" s="357"/>
      <c r="O40" s="357"/>
      <c r="P40" s="357"/>
      <c r="Q40" s="4"/>
      <c r="R40" s="4"/>
      <c r="S40" s="4"/>
    </row>
    <row r="41" spans="1:19" ht="22.5" customHeight="1" thickBot="1" x14ac:dyDescent="0.5">
      <c r="A41" s="4"/>
      <c r="B41" s="13">
        <v>40</v>
      </c>
      <c r="C41" s="31">
        <v>123456789</v>
      </c>
      <c r="D41" s="15" t="s">
        <v>213</v>
      </c>
      <c r="E41" s="23" t="s">
        <v>292</v>
      </c>
      <c r="F41" s="9"/>
      <c r="G41" s="4" t="s">
        <v>267</v>
      </c>
      <c r="H41" s="357" t="str">
        <f>UPPER(IF(C36="","",C36))</f>
        <v/>
      </c>
      <c r="I41" s="357"/>
      <c r="J41" s="357"/>
      <c r="K41" s="357"/>
      <c r="L41" s="357"/>
      <c r="M41" s="357"/>
      <c r="N41" s="357"/>
      <c r="O41" s="357"/>
      <c r="P41" s="357"/>
      <c r="Q41" s="4"/>
      <c r="R41" s="4"/>
      <c r="S41" s="4"/>
    </row>
    <row r="42" spans="1:19" ht="22.5" customHeight="1" thickBot="1" x14ac:dyDescent="0.5">
      <c r="A42" s="4"/>
      <c r="B42" s="13">
        <v>41</v>
      </c>
      <c r="C42" s="31"/>
      <c r="D42" s="15"/>
      <c r="E42" s="23" t="s">
        <v>101</v>
      </c>
      <c r="F42" s="9"/>
      <c r="G42" s="4" t="s">
        <v>268</v>
      </c>
      <c r="H42" s="357" t="str">
        <f>UPPER(IF(C37="","",C37))</f>
        <v/>
      </c>
      <c r="I42" s="357"/>
      <c r="J42" s="357"/>
      <c r="K42" s="357"/>
      <c r="L42" s="357"/>
      <c r="M42" s="357"/>
      <c r="N42" s="357"/>
      <c r="O42" s="357"/>
      <c r="P42" s="357"/>
      <c r="Q42" s="4"/>
      <c r="R42" s="4"/>
      <c r="S42" s="4"/>
    </row>
    <row r="43" spans="1:19" ht="22.5" customHeight="1" thickBot="1" x14ac:dyDescent="0.5">
      <c r="A43" s="4"/>
      <c r="B43" s="13">
        <v>42</v>
      </c>
      <c r="C43" s="31"/>
      <c r="D43" s="15"/>
      <c r="E43" s="23" t="s">
        <v>102</v>
      </c>
      <c r="F43" s="9"/>
      <c r="G43" s="4" t="s">
        <v>269</v>
      </c>
      <c r="H43" s="357" t="str">
        <f>UPPER(IF(C38="","",C38))</f>
        <v/>
      </c>
      <c r="I43" s="357"/>
      <c r="J43" s="357"/>
      <c r="K43" s="357"/>
      <c r="L43" s="357"/>
      <c r="M43" s="357"/>
      <c r="N43" s="357"/>
      <c r="O43" s="357"/>
      <c r="P43" s="357"/>
      <c r="Q43" s="4"/>
      <c r="R43" s="4"/>
      <c r="S43" s="4"/>
    </row>
    <row r="44" spans="1:19" ht="22.5" customHeight="1" thickBot="1" x14ac:dyDescent="0.5">
      <c r="A44" s="4"/>
      <c r="B44" s="13">
        <v>43</v>
      </c>
      <c r="C44" s="31"/>
      <c r="D44" s="15"/>
      <c r="E44" s="23" t="s">
        <v>103</v>
      </c>
      <c r="F44" s="27" t="s">
        <v>185</v>
      </c>
      <c r="G44" s="4" t="s">
        <v>270</v>
      </c>
      <c r="H44" s="357" t="str">
        <f>IF(C39="Other No/Do not know",F44,"")</f>
        <v/>
      </c>
      <c r="I44" s="357"/>
      <c r="J44" s="357"/>
      <c r="K44" s="357"/>
      <c r="L44" s="357"/>
      <c r="M44" s="357"/>
      <c r="N44" s="357"/>
      <c r="O44" s="357"/>
      <c r="P44" s="357"/>
      <c r="Q44" s="4"/>
      <c r="R44" s="4"/>
      <c r="S44" s="4"/>
    </row>
    <row r="45" spans="1:19" ht="22.5" customHeight="1" thickBot="1" x14ac:dyDescent="0.5">
      <c r="A45" s="4"/>
      <c r="B45" s="13">
        <v>44</v>
      </c>
      <c r="C45" s="31"/>
      <c r="D45" s="15"/>
      <c r="E45" s="23" t="s">
        <v>99</v>
      </c>
      <c r="F45" s="27" t="s">
        <v>197</v>
      </c>
      <c r="G45" s="4" t="s">
        <v>271</v>
      </c>
      <c r="H45" s="357" t="str">
        <f>IF(C39="Yes",F45,"")</f>
        <v>2</v>
      </c>
      <c r="I45" s="357"/>
      <c r="J45" s="357"/>
      <c r="K45" s="357"/>
      <c r="L45" s="357"/>
      <c r="M45" s="357"/>
      <c r="N45" s="357"/>
      <c r="O45" s="357"/>
      <c r="P45" s="357"/>
      <c r="Q45" s="4"/>
      <c r="R45" s="4"/>
      <c r="S45" s="4"/>
    </row>
    <row r="46" spans="1:19" ht="22.5" customHeight="1" thickBot="1" x14ac:dyDescent="0.5">
      <c r="A46" s="4"/>
      <c r="B46" s="13">
        <v>45</v>
      </c>
      <c r="C46" s="31"/>
      <c r="D46" s="15"/>
      <c r="E46" s="23" t="s">
        <v>98</v>
      </c>
      <c r="F46" s="9"/>
      <c r="G46" s="4" t="s">
        <v>294</v>
      </c>
      <c r="H46" s="28" t="str">
        <f>MID($C40,1,1)</f>
        <v>1</v>
      </c>
      <c r="I46" s="28" t="str">
        <f>MID($C40,2,1)</f>
        <v>2</v>
      </c>
      <c r="J46" s="28" t="str">
        <f>MID($C40,3,1)</f>
        <v>3</v>
      </c>
      <c r="K46" s="28" t="str">
        <f>MID($C40,4,1)</f>
        <v>4</v>
      </c>
      <c r="L46" s="28" t="str">
        <f>MID($C40,5,1)</f>
        <v>5</v>
      </c>
      <c r="M46" s="28" t="str">
        <f>MID($C40,6,1)</f>
        <v>6</v>
      </c>
      <c r="N46" s="28" t="str">
        <f>MID($C40,7,1)</f>
        <v>7</v>
      </c>
      <c r="O46" s="28" t="str">
        <f>MID($C40,8,1)</f>
        <v>8</v>
      </c>
      <c r="P46" s="28" t="str">
        <f>MID($C40,9,1)</f>
        <v>9</v>
      </c>
      <c r="Q46" s="4"/>
      <c r="R46" s="4"/>
      <c r="S46" s="4"/>
    </row>
    <row r="47" spans="1:19" ht="22.5" customHeight="1" thickBot="1" x14ac:dyDescent="0.5">
      <c r="A47" s="4"/>
      <c r="B47" s="13">
        <v>46</v>
      </c>
      <c r="C47" s="31"/>
      <c r="D47" s="15"/>
      <c r="E47" s="23" t="s">
        <v>97</v>
      </c>
      <c r="F47" s="9"/>
      <c r="G47" s="4" t="s">
        <v>295</v>
      </c>
      <c r="H47" s="28" t="str">
        <f>MID($C41,1,1)</f>
        <v>1</v>
      </c>
      <c r="I47" s="28" t="str">
        <f>MID($C41,2,1)</f>
        <v>2</v>
      </c>
      <c r="J47" s="28" t="str">
        <f>MID($C41,3,1)</f>
        <v>3</v>
      </c>
      <c r="K47" s="28" t="str">
        <f>MID($C41,4,1)</f>
        <v>4</v>
      </c>
      <c r="L47" s="28" t="str">
        <f>MID($C41,5,1)</f>
        <v>5</v>
      </c>
      <c r="M47" s="28" t="str">
        <f>MID($C41,6,1)</f>
        <v>6</v>
      </c>
      <c r="N47" s="28" t="str">
        <f>MID($C41,7,1)</f>
        <v>7</v>
      </c>
      <c r="O47" s="28" t="str">
        <f>MID($C41,8,1)</f>
        <v>8</v>
      </c>
      <c r="P47" s="28" t="str">
        <f>MID($C41,9,1)</f>
        <v>9</v>
      </c>
      <c r="Q47" s="4"/>
      <c r="R47" s="4"/>
      <c r="S47" s="4"/>
    </row>
    <row r="48" spans="1:19" ht="22.5" customHeight="1" thickBot="1" x14ac:dyDescent="0.5">
      <c r="A48" s="4"/>
      <c r="B48" s="13">
        <v>47</v>
      </c>
      <c r="C48" s="31"/>
      <c r="D48" s="15"/>
      <c r="E48" s="23" t="s">
        <v>85</v>
      </c>
      <c r="F48" s="9"/>
      <c r="G48" s="4" t="s">
        <v>272</v>
      </c>
      <c r="H48" s="357" t="str">
        <f t="shared" ref="H48:H55" si="2">UPPER(IF(C42="","",C42))</f>
        <v/>
      </c>
      <c r="I48" s="357"/>
      <c r="J48" s="357"/>
      <c r="K48" s="357"/>
      <c r="L48" s="357"/>
      <c r="M48" s="357"/>
      <c r="N48" s="357"/>
      <c r="O48" s="357"/>
      <c r="P48" s="357"/>
      <c r="Q48" s="4"/>
      <c r="R48" s="4"/>
      <c r="S48" s="4"/>
    </row>
    <row r="49" spans="1:19" ht="22.5" customHeight="1" thickBot="1" x14ac:dyDescent="0.5">
      <c r="A49" s="4"/>
      <c r="B49" s="13">
        <v>48</v>
      </c>
      <c r="C49" s="31"/>
      <c r="D49" s="15"/>
      <c r="E49" s="23" t="s">
        <v>86</v>
      </c>
      <c r="F49" s="9"/>
      <c r="G49" s="4" t="s">
        <v>273</v>
      </c>
      <c r="H49" s="357" t="str">
        <f t="shared" si="2"/>
        <v/>
      </c>
      <c r="I49" s="357"/>
      <c r="J49" s="357"/>
      <c r="K49" s="357"/>
      <c r="L49" s="357"/>
      <c r="M49" s="357"/>
      <c r="N49" s="357"/>
      <c r="O49" s="357"/>
      <c r="P49" s="357"/>
      <c r="Q49" s="4"/>
      <c r="R49" s="4"/>
      <c r="S49" s="4"/>
    </row>
    <row r="50" spans="1:19" ht="39.75" customHeight="1" thickBot="1" x14ac:dyDescent="0.5">
      <c r="A50" s="4"/>
      <c r="B50" s="13">
        <v>49</v>
      </c>
      <c r="C50" s="30" t="s">
        <v>87</v>
      </c>
      <c r="D50" s="15" t="s">
        <v>179</v>
      </c>
      <c r="E50" s="26" t="s">
        <v>314</v>
      </c>
      <c r="F50" s="9"/>
      <c r="G50" s="4" t="s">
        <v>274</v>
      </c>
      <c r="H50" s="357" t="str">
        <f t="shared" si="2"/>
        <v/>
      </c>
      <c r="I50" s="357"/>
      <c r="J50" s="357"/>
      <c r="K50" s="357"/>
      <c r="L50" s="357"/>
      <c r="M50" s="357"/>
      <c r="N50" s="357"/>
      <c r="O50" s="357"/>
      <c r="P50" s="357"/>
      <c r="Q50" s="4"/>
      <c r="R50" s="4"/>
      <c r="S50" s="4"/>
    </row>
    <row r="51" spans="1:19" ht="40.5" customHeight="1" thickBot="1" x14ac:dyDescent="0.5">
      <c r="A51" s="4"/>
      <c r="B51" s="13">
        <v>50</v>
      </c>
      <c r="C51" s="31"/>
      <c r="D51" s="15"/>
      <c r="E51" s="23" t="s">
        <v>90</v>
      </c>
      <c r="F51" s="9"/>
      <c r="G51" s="4" t="s">
        <v>275</v>
      </c>
      <c r="H51" s="357" t="str">
        <f t="shared" si="2"/>
        <v/>
      </c>
      <c r="I51" s="357"/>
      <c r="J51" s="357"/>
      <c r="K51" s="357"/>
      <c r="L51" s="357"/>
      <c r="M51" s="357"/>
      <c r="N51" s="357"/>
      <c r="O51" s="357"/>
      <c r="P51" s="357"/>
      <c r="Q51" s="4"/>
      <c r="R51" s="4"/>
      <c r="S51" s="4"/>
    </row>
    <row r="52" spans="1:19" ht="22.5" customHeight="1" thickBot="1" x14ac:dyDescent="0.5">
      <c r="A52" s="4"/>
      <c r="B52" s="13">
        <v>51</v>
      </c>
      <c r="C52" s="31"/>
      <c r="D52" s="15"/>
      <c r="E52" s="23" t="s">
        <v>91</v>
      </c>
      <c r="F52" s="9"/>
      <c r="G52" s="4" t="s">
        <v>276</v>
      </c>
      <c r="H52" s="357" t="str">
        <f t="shared" si="2"/>
        <v/>
      </c>
      <c r="I52" s="357"/>
      <c r="J52" s="357"/>
      <c r="K52" s="357"/>
      <c r="L52" s="357"/>
      <c r="M52" s="357"/>
      <c r="N52" s="357"/>
      <c r="O52" s="357"/>
      <c r="P52" s="357"/>
      <c r="Q52" s="4"/>
      <c r="R52" s="4"/>
      <c r="S52" s="4"/>
    </row>
    <row r="53" spans="1:19" ht="22.5" customHeight="1" thickBot="1" x14ac:dyDescent="0.5">
      <c r="A53" s="4"/>
      <c r="B53" s="13">
        <v>52</v>
      </c>
      <c r="C53" s="31"/>
      <c r="D53" s="15"/>
      <c r="E53" s="23" t="s">
        <v>93</v>
      </c>
      <c r="F53" s="9"/>
      <c r="G53" s="4" t="s">
        <v>277</v>
      </c>
      <c r="H53" s="357" t="str">
        <f t="shared" si="2"/>
        <v/>
      </c>
      <c r="I53" s="357"/>
      <c r="J53" s="357"/>
      <c r="K53" s="357"/>
      <c r="L53" s="357"/>
      <c r="M53" s="357"/>
      <c r="N53" s="357"/>
      <c r="O53" s="357"/>
      <c r="P53" s="357"/>
      <c r="Q53" s="4"/>
      <c r="R53" s="4"/>
      <c r="S53" s="4"/>
    </row>
    <row r="54" spans="1:19" ht="22.5" customHeight="1" thickBot="1" x14ac:dyDescent="0.5">
      <c r="A54" s="4"/>
      <c r="B54" s="13">
        <v>53</v>
      </c>
      <c r="C54" s="31"/>
      <c r="D54" s="15"/>
      <c r="E54" s="23" t="s">
        <v>92</v>
      </c>
      <c r="F54" s="9"/>
      <c r="G54" s="4" t="s">
        <v>278</v>
      </c>
      <c r="H54" s="357" t="str">
        <f t="shared" si="2"/>
        <v/>
      </c>
      <c r="I54" s="357"/>
      <c r="J54" s="357"/>
      <c r="K54" s="357"/>
      <c r="L54" s="357"/>
      <c r="M54" s="357"/>
      <c r="N54" s="357"/>
      <c r="O54" s="357"/>
      <c r="P54" s="357"/>
      <c r="Q54" s="4"/>
      <c r="R54" s="4"/>
      <c r="S54" s="4"/>
    </row>
    <row r="55" spans="1:19" ht="22.5" customHeight="1" thickBot="1" x14ac:dyDescent="0.5">
      <c r="A55" s="4"/>
      <c r="B55" s="13">
        <v>54</v>
      </c>
      <c r="C55" s="31"/>
      <c r="D55" s="15"/>
      <c r="E55" s="23" t="s">
        <v>94</v>
      </c>
      <c r="F55" s="9"/>
      <c r="G55" s="4" t="s">
        <v>279</v>
      </c>
      <c r="H55" s="357" t="str">
        <f t="shared" si="2"/>
        <v/>
      </c>
      <c r="I55" s="357"/>
      <c r="J55" s="357"/>
      <c r="K55" s="357"/>
      <c r="L55" s="357"/>
      <c r="M55" s="357"/>
      <c r="N55" s="357"/>
      <c r="O55" s="357"/>
      <c r="P55" s="357"/>
      <c r="Q55" s="4"/>
      <c r="R55" s="4"/>
      <c r="S55" s="4"/>
    </row>
    <row r="56" spans="1:19" ht="22.5" customHeight="1" thickBot="1" x14ac:dyDescent="0.5">
      <c r="A56" s="4"/>
      <c r="B56" s="13">
        <v>55</v>
      </c>
      <c r="C56" s="31"/>
      <c r="D56" s="15"/>
      <c r="E56" s="23" t="s">
        <v>95</v>
      </c>
      <c r="F56" s="9">
        <v>1</v>
      </c>
      <c r="G56" s="4" t="s">
        <v>280</v>
      </c>
      <c r="H56" s="357">
        <f>IF(C50="Parent",F56,"")</f>
        <v>1</v>
      </c>
      <c r="I56" s="357"/>
      <c r="J56" s="357"/>
      <c r="K56" s="357"/>
      <c r="L56" s="357"/>
      <c r="M56" s="357"/>
      <c r="N56" s="357"/>
      <c r="O56" s="357"/>
      <c r="P56" s="357"/>
      <c r="Q56" s="4"/>
      <c r="R56" s="4"/>
      <c r="S56" s="4"/>
    </row>
    <row r="57" spans="1:19" ht="22.5" customHeight="1" thickBot="1" x14ac:dyDescent="0.5">
      <c r="A57" s="4"/>
      <c r="B57" s="13">
        <v>56</v>
      </c>
      <c r="C57" s="31"/>
      <c r="D57" s="18"/>
      <c r="E57" s="25" t="s">
        <v>96</v>
      </c>
      <c r="F57" s="9">
        <v>2</v>
      </c>
      <c r="G57" s="4" t="s">
        <v>281</v>
      </c>
      <c r="H57" s="357" t="str">
        <f>IF(C50="Court-appointed guardian",F57,"")</f>
        <v/>
      </c>
      <c r="I57" s="357"/>
      <c r="J57" s="357"/>
      <c r="K57" s="357"/>
      <c r="L57" s="357"/>
      <c r="M57" s="357"/>
      <c r="N57" s="357"/>
      <c r="O57" s="357"/>
      <c r="P57" s="357"/>
      <c r="Q57" s="4"/>
      <c r="R57" s="4"/>
      <c r="S57" s="4"/>
    </row>
    <row r="58" spans="1:19" ht="22.5" customHeight="1" x14ac:dyDescent="0.45">
      <c r="A58" s="4"/>
      <c r="B58" s="5"/>
      <c r="C58" s="35"/>
      <c r="D58" s="6"/>
      <c r="E58" s="4"/>
      <c r="F58" s="9">
        <v>3</v>
      </c>
      <c r="G58" s="4" t="s">
        <v>282</v>
      </c>
      <c r="H58" s="357" t="str">
        <f>IF(C50="Power of Attorney",F58,"")</f>
        <v/>
      </c>
      <c r="I58" s="357"/>
      <c r="J58" s="357"/>
      <c r="K58" s="357"/>
      <c r="L58" s="357"/>
      <c r="M58" s="357"/>
      <c r="N58" s="357"/>
      <c r="O58" s="357"/>
      <c r="P58" s="357"/>
      <c r="Q58" s="4"/>
      <c r="R58" s="4"/>
      <c r="S58" s="4"/>
    </row>
    <row r="59" spans="1:19" ht="22.5" customHeight="1" x14ac:dyDescent="0.45">
      <c r="A59" s="4"/>
      <c r="B59" s="5"/>
      <c r="C59" s="35"/>
      <c r="D59" s="6"/>
      <c r="E59" s="4"/>
      <c r="F59" s="9"/>
      <c r="G59" s="4" t="s">
        <v>283</v>
      </c>
      <c r="H59" s="357" t="str">
        <f t="shared" ref="H59:H65" si="3">UPPER(IF(C51="","",C51))</f>
        <v/>
      </c>
      <c r="I59" s="357"/>
      <c r="J59" s="357"/>
      <c r="K59" s="357"/>
      <c r="L59" s="357"/>
      <c r="M59" s="357"/>
      <c r="N59" s="357"/>
      <c r="O59" s="357"/>
      <c r="P59" s="357"/>
      <c r="Q59" s="4"/>
      <c r="R59" s="4"/>
      <c r="S59" s="4"/>
    </row>
    <row r="60" spans="1:19" ht="22.5" customHeight="1" x14ac:dyDescent="0.45">
      <c r="A60" s="4"/>
      <c r="B60" s="5"/>
      <c r="C60" s="35"/>
      <c r="D60" s="6"/>
      <c r="E60" s="4"/>
      <c r="F60" s="9"/>
      <c r="G60" s="4" t="s">
        <v>284</v>
      </c>
      <c r="H60" s="357" t="str">
        <f t="shared" si="3"/>
        <v/>
      </c>
      <c r="I60" s="357"/>
      <c r="J60" s="357"/>
      <c r="K60" s="357"/>
      <c r="L60" s="357"/>
      <c r="M60" s="357"/>
      <c r="N60" s="357"/>
      <c r="O60" s="357"/>
      <c r="P60" s="357"/>
      <c r="Q60" s="4"/>
      <c r="R60" s="4"/>
      <c r="S60" s="4"/>
    </row>
    <row r="61" spans="1:19" ht="22.5" customHeight="1" x14ac:dyDescent="0.45">
      <c r="A61" s="4"/>
      <c r="B61" s="5"/>
      <c r="C61" s="35"/>
      <c r="D61" s="6"/>
      <c r="E61" s="4"/>
      <c r="F61" s="9"/>
      <c r="G61" s="4" t="s">
        <v>285</v>
      </c>
      <c r="H61" s="357" t="str">
        <f t="shared" si="3"/>
        <v/>
      </c>
      <c r="I61" s="357"/>
      <c r="J61" s="357"/>
      <c r="K61" s="357"/>
      <c r="L61" s="357"/>
      <c r="M61" s="357"/>
      <c r="N61" s="357"/>
      <c r="O61" s="357"/>
      <c r="P61" s="357"/>
      <c r="Q61" s="4"/>
      <c r="R61" s="4"/>
      <c r="S61" s="4"/>
    </row>
    <row r="62" spans="1:19" ht="22.5" customHeight="1" x14ac:dyDescent="0.45">
      <c r="A62" s="4"/>
      <c r="B62" s="5"/>
      <c r="C62" s="35"/>
      <c r="D62" s="6"/>
      <c r="E62" s="4"/>
      <c r="F62" s="9"/>
      <c r="G62" s="4" t="s">
        <v>286</v>
      </c>
      <c r="H62" s="357" t="str">
        <f t="shared" si="3"/>
        <v/>
      </c>
      <c r="I62" s="357"/>
      <c r="J62" s="357"/>
      <c r="K62" s="357"/>
      <c r="L62" s="357"/>
      <c r="M62" s="357"/>
      <c r="N62" s="357"/>
      <c r="O62" s="357"/>
      <c r="P62" s="357"/>
      <c r="Q62" s="4"/>
      <c r="R62" s="4"/>
      <c r="S62" s="4"/>
    </row>
    <row r="63" spans="1:19" ht="22.5" customHeight="1" x14ac:dyDescent="0.45">
      <c r="A63" s="4"/>
      <c r="B63" s="5"/>
      <c r="C63" s="35"/>
      <c r="D63" s="6"/>
      <c r="E63" s="4"/>
      <c r="F63" s="9"/>
      <c r="G63" s="4" t="s">
        <v>287</v>
      </c>
      <c r="H63" s="357" t="str">
        <f t="shared" si="3"/>
        <v/>
      </c>
      <c r="I63" s="357"/>
      <c r="J63" s="357"/>
      <c r="K63" s="357"/>
      <c r="L63" s="357"/>
      <c r="M63" s="357"/>
      <c r="N63" s="357"/>
      <c r="O63" s="357"/>
      <c r="P63" s="357"/>
      <c r="Q63" s="4"/>
      <c r="R63" s="4"/>
      <c r="S63" s="4"/>
    </row>
    <row r="64" spans="1:19" ht="22.5" customHeight="1" x14ac:dyDescent="0.45">
      <c r="A64" s="4"/>
      <c r="B64" s="5"/>
      <c r="C64" s="35"/>
      <c r="D64" s="6"/>
      <c r="E64" s="4"/>
      <c r="F64" s="9"/>
      <c r="G64" s="4" t="s">
        <v>288</v>
      </c>
      <c r="H64" s="357" t="str">
        <f t="shared" si="3"/>
        <v/>
      </c>
      <c r="I64" s="357"/>
      <c r="J64" s="357"/>
      <c r="K64" s="357"/>
      <c r="L64" s="357"/>
      <c r="M64" s="357"/>
      <c r="N64" s="357"/>
      <c r="O64" s="357"/>
      <c r="P64" s="357"/>
      <c r="Q64" s="4"/>
      <c r="R64" s="4"/>
      <c r="S64" s="4"/>
    </row>
    <row r="65" spans="1:19" ht="22.5" customHeight="1" x14ac:dyDescent="0.45">
      <c r="A65" s="4"/>
      <c r="B65" s="5"/>
      <c r="C65" s="35"/>
      <c r="D65" s="6"/>
      <c r="E65" s="4"/>
      <c r="F65" s="9"/>
      <c r="G65" s="4" t="s">
        <v>289</v>
      </c>
      <c r="H65" s="357" t="str">
        <f t="shared" si="3"/>
        <v/>
      </c>
      <c r="I65" s="357"/>
      <c r="J65" s="357"/>
      <c r="K65" s="357"/>
      <c r="L65" s="357"/>
      <c r="M65" s="357"/>
      <c r="N65" s="357"/>
      <c r="O65" s="357"/>
      <c r="P65" s="357"/>
      <c r="Q65" s="4"/>
      <c r="R65" s="4"/>
      <c r="S65" s="4"/>
    </row>
    <row r="66" spans="1:19" x14ac:dyDescent="0.45">
      <c r="A66" s="4"/>
      <c r="B66" s="5"/>
      <c r="C66" s="35"/>
      <c r="D66" s="6"/>
      <c r="E66" s="4"/>
      <c r="F66" s="9"/>
      <c r="G66" s="4"/>
      <c r="H66" s="20"/>
      <c r="I66" s="20"/>
      <c r="J66" s="20"/>
      <c r="K66" s="20"/>
      <c r="L66" s="20"/>
      <c r="M66" s="20"/>
      <c r="N66" s="20"/>
      <c r="O66" s="20"/>
      <c r="P66" s="20"/>
    </row>
    <row r="67" spans="1:19" x14ac:dyDescent="0.45">
      <c r="A67" s="4"/>
      <c r="B67" s="5"/>
      <c r="C67" s="35"/>
      <c r="D67" s="6"/>
      <c r="E67" s="4"/>
      <c r="F67" s="9"/>
      <c r="G67" s="4"/>
      <c r="H67" s="20"/>
      <c r="I67" s="20"/>
      <c r="J67" s="20"/>
      <c r="K67" s="20"/>
      <c r="L67" s="20"/>
      <c r="M67" s="20"/>
      <c r="N67" s="20"/>
      <c r="O67" s="20"/>
      <c r="P67" s="20"/>
    </row>
    <row r="68" spans="1:19" x14ac:dyDescent="0.45">
      <c r="A68" s="4"/>
      <c r="B68" s="5"/>
      <c r="C68" s="35"/>
      <c r="D68" s="6"/>
      <c r="E68" s="4"/>
      <c r="F68" s="9"/>
      <c r="G68" s="4"/>
      <c r="H68" s="20"/>
      <c r="I68" s="20"/>
      <c r="J68" s="20"/>
      <c r="K68" s="20"/>
      <c r="L68" s="20"/>
      <c r="M68" s="20"/>
      <c r="N68" s="20"/>
      <c r="O68" s="20"/>
      <c r="P68" s="20"/>
    </row>
    <row r="69" spans="1:19" x14ac:dyDescent="0.45">
      <c r="A69" s="4"/>
      <c r="B69" s="5"/>
      <c r="C69" s="35"/>
      <c r="D69" s="6"/>
      <c r="E69" s="4"/>
      <c r="F69" s="9"/>
      <c r="G69" s="4"/>
      <c r="H69" s="20"/>
      <c r="I69" s="20"/>
      <c r="J69" s="20"/>
      <c r="K69" s="20"/>
      <c r="L69" s="20"/>
      <c r="M69" s="20"/>
      <c r="N69" s="20"/>
      <c r="O69" s="20"/>
      <c r="P69" s="20"/>
    </row>
    <row r="70" spans="1:19" x14ac:dyDescent="0.45">
      <c r="A70" s="4"/>
      <c r="B70" s="5"/>
      <c r="C70" s="35"/>
      <c r="D70" s="6"/>
      <c r="E70" s="4"/>
      <c r="F70" s="9"/>
      <c r="G70" s="4"/>
      <c r="H70" s="20"/>
      <c r="I70" s="20"/>
      <c r="J70" s="20"/>
      <c r="K70" s="20"/>
      <c r="L70" s="20"/>
      <c r="M70" s="20"/>
      <c r="N70" s="20"/>
      <c r="O70" s="20"/>
      <c r="P70" s="20"/>
    </row>
    <row r="71" spans="1:19" x14ac:dyDescent="0.45">
      <c r="A71" s="4"/>
      <c r="B71" s="5"/>
      <c r="C71" s="35"/>
      <c r="D71" s="6"/>
      <c r="E71" s="4"/>
      <c r="F71" s="9"/>
      <c r="G71" s="4"/>
      <c r="H71" s="20"/>
      <c r="I71" s="20"/>
      <c r="J71" s="20"/>
      <c r="K71" s="20"/>
      <c r="L71" s="20"/>
      <c r="M71" s="20"/>
      <c r="N71" s="20"/>
      <c r="O71" s="20"/>
      <c r="P71" s="20"/>
    </row>
    <row r="72" spans="1:19" x14ac:dyDescent="0.45">
      <c r="A72" s="4"/>
      <c r="B72" s="5"/>
      <c r="C72" s="35"/>
      <c r="D72" s="6"/>
      <c r="E72" s="4"/>
      <c r="F72" s="9"/>
      <c r="G72" s="4"/>
      <c r="H72" s="20"/>
      <c r="I72" s="20"/>
      <c r="J72" s="20"/>
      <c r="K72" s="20"/>
      <c r="L72" s="20"/>
      <c r="M72" s="20"/>
      <c r="N72" s="20"/>
      <c r="O72" s="20"/>
      <c r="P72" s="20"/>
    </row>
    <row r="73" spans="1:19" x14ac:dyDescent="0.45">
      <c r="A73" s="4"/>
      <c r="B73" s="5"/>
      <c r="C73" s="35"/>
      <c r="D73" s="6"/>
      <c r="E73" s="4"/>
      <c r="F73" s="9"/>
      <c r="G73" s="4"/>
      <c r="H73" s="20"/>
      <c r="I73" s="20"/>
      <c r="J73" s="20"/>
      <c r="K73" s="20"/>
      <c r="L73" s="20"/>
      <c r="M73" s="20"/>
      <c r="N73" s="20"/>
      <c r="O73" s="20"/>
      <c r="P73" s="20"/>
    </row>
    <row r="74" spans="1:19" x14ac:dyDescent="0.45">
      <c r="A74" s="4"/>
      <c r="B74" s="5"/>
      <c r="C74" s="35"/>
      <c r="D74" s="6"/>
      <c r="E74" s="4"/>
      <c r="F74" s="9"/>
      <c r="G74" s="4"/>
      <c r="H74" s="20"/>
      <c r="I74" s="20"/>
      <c r="J74" s="20"/>
      <c r="K74" s="20"/>
      <c r="L74" s="20"/>
      <c r="M74" s="20"/>
      <c r="N74" s="20"/>
      <c r="O74" s="20"/>
      <c r="P74" s="20"/>
    </row>
    <row r="75" spans="1:19" x14ac:dyDescent="0.45">
      <c r="A75" s="4"/>
      <c r="B75" s="5"/>
      <c r="C75" s="35"/>
      <c r="D75" s="6"/>
      <c r="E75" s="4"/>
      <c r="F75" s="9"/>
      <c r="H75" s="20"/>
      <c r="I75" s="20"/>
      <c r="J75" s="20"/>
      <c r="K75" s="20"/>
      <c r="L75" s="20"/>
      <c r="M75" s="20"/>
      <c r="N75" s="20"/>
      <c r="O75" s="20"/>
      <c r="P75" s="20"/>
    </row>
    <row r="76" spans="1:19" x14ac:dyDescent="0.45">
      <c r="A76" s="4"/>
      <c r="B76" s="5"/>
      <c r="C76" s="35"/>
      <c r="D76" s="6"/>
      <c r="E76" s="4"/>
      <c r="F76" s="9"/>
      <c r="H76" s="20"/>
      <c r="I76" s="20"/>
      <c r="J76" s="20"/>
      <c r="K76" s="20"/>
      <c r="L76" s="20"/>
      <c r="M76" s="20"/>
      <c r="N76" s="20"/>
      <c r="O76" s="20"/>
      <c r="P76" s="20"/>
    </row>
    <row r="77" spans="1:19" x14ac:dyDescent="0.45">
      <c r="A77" s="4"/>
      <c r="B77" s="5"/>
      <c r="C77" s="35"/>
      <c r="D77" s="6"/>
      <c r="E77" s="4"/>
      <c r="F77" s="9"/>
      <c r="H77" s="20"/>
      <c r="I77" s="20"/>
      <c r="J77" s="20"/>
      <c r="K77" s="20"/>
      <c r="L77" s="20"/>
      <c r="M77" s="20"/>
      <c r="N77" s="20"/>
      <c r="O77" s="20"/>
      <c r="P77" s="20"/>
    </row>
    <row r="78" spans="1:19" x14ac:dyDescent="0.45">
      <c r="A78" s="4"/>
      <c r="B78" s="5"/>
      <c r="C78" s="35"/>
      <c r="D78" s="6"/>
      <c r="E78" s="4"/>
      <c r="F78" s="9"/>
      <c r="H78" s="20"/>
      <c r="I78" s="20"/>
      <c r="J78" s="20"/>
      <c r="K78" s="20"/>
      <c r="L78" s="20"/>
      <c r="M78" s="20"/>
      <c r="N78" s="20"/>
      <c r="O78" s="20"/>
      <c r="P78" s="20"/>
    </row>
    <row r="79" spans="1:19" x14ac:dyDescent="0.45">
      <c r="A79" s="4"/>
      <c r="B79" s="5"/>
      <c r="C79" s="35"/>
      <c r="D79" s="6"/>
      <c r="E79" s="4"/>
      <c r="F79" s="9"/>
      <c r="H79" s="20"/>
      <c r="I79" s="20"/>
      <c r="J79" s="20"/>
      <c r="K79" s="20"/>
      <c r="L79" s="20"/>
      <c r="M79" s="20"/>
      <c r="N79" s="20"/>
      <c r="O79" s="20"/>
      <c r="P79" s="20"/>
    </row>
    <row r="80" spans="1:19" x14ac:dyDescent="0.45">
      <c r="A80" s="4"/>
      <c r="B80" s="5"/>
      <c r="C80" s="35"/>
      <c r="D80" s="6"/>
      <c r="E80" s="4"/>
      <c r="F80" s="9"/>
      <c r="H80" s="20"/>
      <c r="I80" s="20"/>
      <c r="J80" s="20"/>
      <c r="K80" s="20"/>
      <c r="L80" s="20"/>
      <c r="M80" s="20"/>
      <c r="N80" s="20"/>
      <c r="O80" s="20"/>
      <c r="P80" s="20"/>
    </row>
    <row r="81" spans="1:16" x14ac:dyDescent="0.45">
      <c r="A81" s="4"/>
      <c r="B81" s="5"/>
      <c r="C81" s="35"/>
      <c r="D81" s="6"/>
      <c r="E81" s="4"/>
      <c r="F81" s="9"/>
      <c r="H81" s="20"/>
      <c r="I81" s="20"/>
      <c r="J81" s="20"/>
      <c r="K81" s="20"/>
      <c r="L81" s="20"/>
      <c r="M81" s="20"/>
      <c r="N81" s="20"/>
      <c r="O81" s="20"/>
      <c r="P81" s="20"/>
    </row>
    <row r="82" spans="1:16" x14ac:dyDescent="0.45">
      <c r="A82" s="4"/>
      <c r="B82" s="5"/>
      <c r="C82" s="35"/>
      <c r="D82" s="6"/>
      <c r="E82" s="4"/>
      <c r="F82" s="9"/>
      <c r="H82" s="20"/>
      <c r="I82" s="20"/>
      <c r="J82" s="20"/>
      <c r="K82" s="20"/>
      <c r="L82" s="20"/>
      <c r="M82" s="20"/>
      <c r="N82" s="20"/>
      <c r="O82" s="20"/>
      <c r="P82" s="20"/>
    </row>
    <row r="83" spans="1:16" x14ac:dyDescent="0.45">
      <c r="A83" s="4"/>
      <c r="B83" s="5"/>
      <c r="C83" s="35"/>
      <c r="D83" s="6"/>
      <c r="E83" s="4"/>
      <c r="F83" s="9"/>
      <c r="H83" s="20"/>
      <c r="I83" s="20"/>
      <c r="J83" s="20"/>
      <c r="K83" s="20"/>
      <c r="L83" s="20"/>
      <c r="M83" s="20"/>
      <c r="N83" s="20"/>
      <c r="O83" s="20"/>
      <c r="P83" s="20"/>
    </row>
    <row r="84" spans="1:16" x14ac:dyDescent="0.45">
      <c r="A84" s="4"/>
      <c r="F84" s="9"/>
      <c r="H84" s="20"/>
      <c r="I84" s="20"/>
      <c r="J84" s="20"/>
      <c r="K84" s="20"/>
      <c r="L84" s="20"/>
      <c r="M84" s="20"/>
      <c r="N84" s="20"/>
      <c r="O84" s="20"/>
      <c r="P84" s="20"/>
    </row>
    <row r="85" spans="1:16" x14ac:dyDescent="0.45">
      <c r="A85" s="4"/>
      <c r="F85" s="9"/>
      <c r="H85" s="20"/>
      <c r="I85" s="20"/>
      <c r="J85" s="20"/>
      <c r="K85" s="20"/>
      <c r="L85" s="20"/>
      <c r="M85" s="20"/>
      <c r="N85" s="20"/>
      <c r="O85" s="20"/>
      <c r="P85" s="20"/>
    </row>
    <row r="86" spans="1:16" x14ac:dyDescent="0.45">
      <c r="A86" s="4"/>
      <c r="F86" s="9"/>
      <c r="H86" s="20"/>
      <c r="I86" s="20"/>
      <c r="J86" s="20"/>
      <c r="K86" s="20"/>
      <c r="L86" s="20"/>
      <c r="M86" s="20"/>
      <c r="N86" s="20"/>
      <c r="O86" s="20"/>
      <c r="P86" s="20"/>
    </row>
    <row r="87" spans="1:16" x14ac:dyDescent="0.45">
      <c r="A87" s="4"/>
      <c r="F87" s="9"/>
      <c r="H87" s="20"/>
      <c r="I87" s="20"/>
      <c r="J87" s="20"/>
      <c r="K87" s="20"/>
      <c r="L87" s="20"/>
      <c r="M87" s="20"/>
      <c r="N87" s="20"/>
      <c r="O87" s="20"/>
      <c r="P87" s="20"/>
    </row>
    <row r="88" spans="1:16" x14ac:dyDescent="0.45">
      <c r="A88" s="4"/>
      <c r="F88" s="9"/>
      <c r="H88" s="20"/>
      <c r="I88" s="20"/>
      <c r="J88" s="20"/>
      <c r="K88" s="20"/>
      <c r="L88" s="20"/>
      <c r="M88" s="20"/>
      <c r="N88" s="20"/>
      <c r="O88" s="20"/>
      <c r="P88" s="20"/>
    </row>
    <row r="89" spans="1:16" x14ac:dyDescent="0.45">
      <c r="A89" s="4"/>
      <c r="F89" s="9"/>
      <c r="H89" s="20"/>
      <c r="I89" s="20"/>
      <c r="J89" s="20"/>
      <c r="K89" s="20"/>
      <c r="L89" s="20"/>
      <c r="M89" s="20"/>
      <c r="N89" s="20"/>
      <c r="O89" s="20"/>
      <c r="P89" s="20"/>
    </row>
    <row r="90" spans="1:16" x14ac:dyDescent="0.45">
      <c r="A90" s="4"/>
      <c r="F90" s="9"/>
      <c r="H90" s="20"/>
      <c r="I90" s="20"/>
      <c r="J90" s="20"/>
      <c r="K90" s="20"/>
      <c r="L90" s="20"/>
      <c r="M90" s="20"/>
      <c r="N90" s="20"/>
      <c r="O90" s="20"/>
      <c r="P90" s="20"/>
    </row>
    <row r="91" spans="1:16" x14ac:dyDescent="0.45">
      <c r="A91" s="4"/>
      <c r="F91" s="9"/>
      <c r="H91" s="20"/>
      <c r="I91" s="20"/>
      <c r="J91" s="20"/>
      <c r="K91" s="20"/>
      <c r="L91" s="20"/>
      <c r="M91" s="20"/>
      <c r="N91" s="20"/>
      <c r="O91" s="20"/>
      <c r="P91" s="20"/>
    </row>
  </sheetData>
  <mergeCells count="63">
    <mergeCell ref="H62:P62"/>
    <mergeCell ref="H63:P63"/>
    <mergeCell ref="H64:P64"/>
    <mergeCell ref="H65:P65"/>
    <mergeCell ref="H57:P57"/>
    <mergeCell ref="H58:P58"/>
    <mergeCell ref="H59:P59"/>
    <mergeCell ref="H60:P60"/>
    <mergeCell ref="H61:P61"/>
    <mergeCell ref="H45:P45"/>
    <mergeCell ref="H48:P48"/>
    <mergeCell ref="H49:P49"/>
    <mergeCell ref="H50:P50"/>
    <mergeCell ref="H51:P51"/>
    <mergeCell ref="H52:P52"/>
    <mergeCell ref="H53:P53"/>
    <mergeCell ref="H54:P54"/>
    <mergeCell ref="H55:P55"/>
    <mergeCell ref="H56:P56"/>
    <mergeCell ref="H35:P35"/>
    <mergeCell ref="H36:P36"/>
    <mergeCell ref="H37:P37"/>
    <mergeCell ref="H38:P38"/>
    <mergeCell ref="H39:P39"/>
    <mergeCell ref="H40:P40"/>
    <mergeCell ref="H41:P41"/>
    <mergeCell ref="H42:P42"/>
    <mergeCell ref="H43:P43"/>
    <mergeCell ref="H44:P44"/>
    <mergeCell ref="H25:P25"/>
    <mergeCell ref="H26:P26"/>
    <mergeCell ref="H27:P27"/>
    <mergeCell ref="H28:P28"/>
    <mergeCell ref="H29:P29"/>
    <mergeCell ref="H30:P30"/>
    <mergeCell ref="H31:P31"/>
    <mergeCell ref="H32:P32"/>
    <mergeCell ref="H33:P33"/>
    <mergeCell ref="H34:P34"/>
    <mergeCell ref="H15:P15"/>
    <mergeCell ref="H16:P16"/>
    <mergeCell ref="H17:P17"/>
    <mergeCell ref="H18:P18"/>
    <mergeCell ref="H19:P19"/>
    <mergeCell ref="H20:P20"/>
    <mergeCell ref="H21:P21"/>
    <mergeCell ref="H22:P22"/>
    <mergeCell ref="H23:P23"/>
    <mergeCell ref="H24:P24"/>
    <mergeCell ref="H11:P11"/>
    <mergeCell ref="H12:P12"/>
    <mergeCell ref="H13:P13"/>
    <mergeCell ref="H14:P14"/>
    <mergeCell ref="H5:P5"/>
    <mergeCell ref="H6:P6"/>
    <mergeCell ref="H7:P7"/>
    <mergeCell ref="H8:P8"/>
    <mergeCell ref="H9:P9"/>
    <mergeCell ref="H1:P1"/>
    <mergeCell ref="H2:P2"/>
    <mergeCell ref="H3:P3"/>
    <mergeCell ref="H4:P4"/>
    <mergeCell ref="H10:P10"/>
  </mergeCells>
  <conditionalFormatting sqref="C2">
    <cfRule type="notContainsBlanks" dxfId="90" priority="45">
      <formula>LEN(TRIM(C2))&gt;0</formula>
    </cfRule>
  </conditionalFormatting>
  <conditionalFormatting sqref="C3">
    <cfRule type="notContainsBlanks" dxfId="89" priority="43">
      <formula>LEN(TRIM(C3))&gt;0</formula>
    </cfRule>
  </conditionalFormatting>
  <conditionalFormatting sqref="C4">
    <cfRule type="notContainsBlanks" dxfId="88" priority="40">
      <formula>LEN(TRIM(C4))&gt;0</formula>
    </cfRule>
  </conditionalFormatting>
  <conditionalFormatting sqref="C5">
    <cfRule type="notContainsBlanks" dxfId="87" priority="39">
      <formula>LEN(TRIM(C5))&gt;0</formula>
    </cfRule>
  </conditionalFormatting>
  <conditionalFormatting sqref="C6">
    <cfRule type="notContainsBlanks" dxfId="86" priority="38">
      <formula>LEN(TRIM(C6))&gt;0</formula>
    </cfRule>
  </conditionalFormatting>
  <conditionalFormatting sqref="C10">
    <cfRule type="notContainsBlanks" dxfId="85" priority="35">
      <formula>LEN(TRIM(C10))&gt;0</formula>
    </cfRule>
  </conditionalFormatting>
  <conditionalFormatting sqref="C8">
    <cfRule type="notContainsBlanks" dxfId="84" priority="36">
      <formula>LEN(TRIM(C8))&gt;0</formula>
    </cfRule>
  </conditionalFormatting>
  <conditionalFormatting sqref="C11">
    <cfRule type="notContainsBlanks" dxfId="83" priority="34">
      <formula>LEN(TRIM(C11))&gt;0</formula>
    </cfRule>
  </conditionalFormatting>
  <conditionalFormatting sqref="C12">
    <cfRule type="notContainsBlanks" dxfId="82" priority="33">
      <formula>LEN(TRIM(C12))&gt;0</formula>
    </cfRule>
  </conditionalFormatting>
  <conditionalFormatting sqref="C29">
    <cfRule type="notContainsBlanks" dxfId="81" priority="32">
      <formula>LEN(TRIM(C29))&gt;0</formula>
    </cfRule>
  </conditionalFormatting>
  <conditionalFormatting sqref="C33">
    <cfRule type="notContainsBlanks" dxfId="80" priority="30">
      <formula>LEN(TRIM(C33))&gt;0</formula>
    </cfRule>
  </conditionalFormatting>
  <conditionalFormatting sqref="C50">
    <cfRule type="notContainsBlanks" dxfId="79" priority="26">
      <formula>LEN(TRIM(C50))&gt;0</formula>
    </cfRule>
  </conditionalFormatting>
  <conditionalFormatting sqref="C39">
    <cfRule type="notContainsBlanks" dxfId="78" priority="2">
      <formula>LEN(TRIM(C39))&gt;0</formula>
    </cfRule>
  </conditionalFormatting>
  <dataValidations count="1">
    <dataValidation showInputMessage="1" showErrorMessage="1" sqref="H48:P65 H2:P45"/>
  </dataValidations>
  <pageMargins left="0.7" right="0.7" top="0.75" bottom="0.75" header="0.3" footer="0.3"/>
  <pageSetup orientation="portrait" horizontalDpi="0" verticalDpi="0" r:id="rId1"/>
  <ignoredErrors>
    <ignoredError sqref="H10" formula="1"/>
    <ignoredError sqref="H46:P46 H47:P47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>
          <x14:formula1>
            <xm:f>Lists!$A$2:$A$4</xm:f>
          </x14:formula1>
          <xm:sqref>C8 C10:C12 C3:C6</xm:sqref>
        </x14:dataValidation>
        <x14:dataValidation type="list" showInputMessage="1" showErrorMessage="1">
          <x14:formula1>
            <xm:f>Lists!$B$3:$B$4</xm:f>
          </x14:formula1>
          <xm:sqref>C29</xm:sqref>
        </x14:dataValidation>
        <x14:dataValidation type="list" showInputMessage="1" showErrorMessage="1">
          <x14:formula1>
            <xm:f>Lists!$C$3:$C$4</xm:f>
          </x14:formula1>
          <xm:sqref>C2</xm:sqref>
        </x14:dataValidation>
        <x14:dataValidation type="list" showInputMessage="1" showErrorMessage="1">
          <x14:formula1>
            <xm:f>Lists!$D$3:$D$6</xm:f>
          </x14:formula1>
          <xm:sqref>C33</xm:sqref>
        </x14:dataValidation>
        <x14:dataValidation type="list" showInputMessage="1" showErrorMessage="1">
          <x14:formula1>
            <xm:f>Lists!$I$3:$I$5</xm:f>
          </x14:formula1>
          <xm:sqref>C50</xm:sqref>
        </x14:dataValidation>
        <x14:dataValidation type="list" showInputMessage="1" showErrorMessage="1">
          <x14:formula1>
            <xm:f>Lists!$J$3:$J$5</xm:f>
          </x14:formula1>
          <xm:sqref>C39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5"/>
  <sheetViews>
    <sheetView workbookViewId="0">
      <selection activeCell="I12" sqref="I12"/>
    </sheetView>
  </sheetViews>
  <sheetFormatPr defaultRowHeight="14.25" x14ac:dyDescent="0.45"/>
  <cols>
    <col min="4" max="4" width="18.265625" customWidth="1"/>
    <col min="5" max="5" width="12.46484375" bestFit="1" customWidth="1"/>
    <col min="6" max="6" width="43.73046875" customWidth="1"/>
    <col min="9" max="9" width="23.06640625" customWidth="1"/>
    <col min="10" max="10" width="19.06640625" customWidth="1"/>
    <col min="11" max="11" width="10.19921875" bestFit="1" customWidth="1"/>
    <col min="12" max="12" width="18" customWidth="1"/>
    <col min="13" max="13" width="9.06640625" style="1"/>
  </cols>
  <sheetData>
    <row r="1" spans="1:13" ht="14.65" thickBot="1" x14ac:dyDescent="0.5"/>
    <row r="2" spans="1:13" ht="14.65" thickTop="1" x14ac:dyDescent="0.45">
      <c r="A2" t="s">
        <v>221</v>
      </c>
      <c r="L2" s="51" t="s">
        <v>366</v>
      </c>
      <c r="M2" s="52"/>
    </row>
    <row r="3" spans="1:13" x14ac:dyDescent="0.45">
      <c r="A3" t="s">
        <v>178</v>
      </c>
      <c r="B3" t="s">
        <v>210</v>
      </c>
      <c r="C3" t="s">
        <v>299</v>
      </c>
      <c r="D3" s="17" t="s">
        <v>303</v>
      </c>
      <c r="E3" t="s">
        <v>147</v>
      </c>
      <c r="F3" s="22" t="s">
        <v>153</v>
      </c>
      <c r="G3" t="s">
        <v>308</v>
      </c>
      <c r="H3" t="s">
        <v>312</v>
      </c>
      <c r="I3" t="s">
        <v>87</v>
      </c>
      <c r="K3" s="40">
        <v>43466</v>
      </c>
      <c r="L3" s="49" t="s">
        <v>172</v>
      </c>
      <c r="M3" s="53">
        <v>11</v>
      </c>
    </row>
    <row r="4" spans="1:13" x14ac:dyDescent="0.45">
      <c r="A4" t="s">
        <v>179</v>
      </c>
      <c r="B4" t="s">
        <v>298</v>
      </c>
      <c r="C4" t="s">
        <v>300</v>
      </c>
      <c r="D4" s="17" t="s">
        <v>304</v>
      </c>
      <c r="E4" t="s">
        <v>148</v>
      </c>
      <c r="F4" s="22" t="s">
        <v>104</v>
      </c>
      <c r="G4" t="s">
        <v>309</v>
      </c>
      <c r="H4" t="s">
        <v>310</v>
      </c>
      <c r="I4" t="s">
        <v>88</v>
      </c>
      <c r="J4" t="s">
        <v>316</v>
      </c>
      <c r="L4" s="49"/>
      <c r="M4" s="53"/>
    </row>
    <row r="5" spans="1:13" x14ac:dyDescent="0.45">
      <c r="D5" s="17" t="s">
        <v>305</v>
      </c>
      <c r="F5" s="22" t="s">
        <v>152</v>
      </c>
      <c r="H5" t="s">
        <v>311</v>
      </c>
      <c r="I5" t="s">
        <v>89</v>
      </c>
      <c r="J5" t="s">
        <v>178</v>
      </c>
      <c r="L5" s="49"/>
      <c r="M5" s="53"/>
    </row>
    <row r="6" spans="1:13" x14ac:dyDescent="0.45">
      <c r="D6" s="17" t="s">
        <v>306</v>
      </c>
      <c r="F6" s="22" t="s">
        <v>154</v>
      </c>
      <c r="L6" s="49"/>
      <c r="M6" s="53"/>
    </row>
    <row r="7" spans="1:13" x14ac:dyDescent="0.45">
      <c r="F7" s="22" t="s">
        <v>155</v>
      </c>
      <c r="L7" s="49"/>
      <c r="M7" s="53"/>
    </row>
    <row r="8" spans="1:13" x14ac:dyDescent="0.45">
      <c r="F8" s="22" t="s">
        <v>156</v>
      </c>
      <c r="L8" s="49"/>
      <c r="M8" s="53"/>
    </row>
    <row r="9" spans="1:13" x14ac:dyDescent="0.45">
      <c r="L9" s="49"/>
      <c r="M9" s="53"/>
    </row>
    <row r="10" spans="1:13" x14ac:dyDescent="0.45">
      <c r="L10" s="49"/>
      <c r="M10" s="53"/>
    </row>
    <row r="11" spans="1:13" x14ac:dyDescent="0.45">
      <c r="L11" s="49"/>
      <c r="M11" s="53"/>
    </row>
    <row r="12" spans="1:13" x14ac:dyDescent="0.45">
      <c r="L12" s="49"/>
      <c r="M12" s="53"/>
    </row>
    <row r="13" spans="1:13" x14ac:dyDescent="0.45">
      <c r="L13" s="49"/>
      <c r="M13" s="53"/>
    </row>
    <row r="14" spans="1:13" x14ac:dyDescent="0.45">
      <c r="L14" s="49"/>
      <c r="M14" s="53"/>
    </row>
    <row r="15" spans="1:13" x14ac:dyDescent="0.45">
      <c r="L15" s="49"/>
      <c r="M15" s="53"/>
    </row>
    <row r="16" spans="1:13" x14ac:dyDescent="0.45">
      <c r="L16" s="49"/>
      <c r="M16" s="53"/>
    </row>
    <row r="17" spans="12:13" x14ac:dyDescent="0.45">
      <c r="L17" s="49"/>
      <c r="M17" s="53"/>
    </row>
    <row r="18" spans="12:13" x14ac:dyDescent="0.45">
      <c r="L18" s="49"/>
      <c r="M18" s="53"/>
    </row>
    <row r="19" spans="12:13" x14ac:dyDescent="0.45">
      <c r="L19" s="49"/>
      <c r="M19" s="53"/>
    </row>
    <row r="20" spans="12:13" x14ac:dyDescent="0.45">
      <c r="L20" s="49"/>
      <c r="M20" s="53"/>
    </row>
    <row r="21" spans="12:13" x14ac:dyDescent="0.45">
      <c r="L21" s="49"/>
      <c r="M21" s="53"/>
    </row>
    <row r="22" spans="12:13" x14ac:dyDescent="0.45">
      <c r="L22" s="49"/>
      <c r="M22" s="53"/>
    </row>
    <row r="23" spans="12:13" x14ac:dyDescent="0.45">
      <c r="L23" s="49"/>
      <c r="M23" s="53"/>
    </row>
    <row r="24" spans="12:13" ht="14.65" thickBot="1" x14ac:dyDescent="0.5">
      <c r="L24" s="50"/>
      <c r="M24" s="54"/>
    </row>
    <row r="25" spans="12:13" ht="14.65" thickTop="1" x14ac:dyDescent="0.45"/>
  </sheetData>
  <sheetProtection password="DF83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9" tint="0.59999389629810485"/>
  </sheetPr>
  <dimension ref="A1:P175"/>
  <sheetViews>
    <sheetView showGridLines="0" showRowColHeaders="0" topLeftCell="A3" workbookViewId="0">
      <selection activeCell="A3" sqref="A3"/>
    </sheetView>
  </sheetViews>
  <sheetFormatPr defaultRowHeight="14.25" x14ac:dyDescent="0.45"/>
  <cols>
    <col min="1" max="1" width="1.86328125" style="167" customWidth="1"/>
    <col min="2" max="2" width="6.53125" style="170" customWidth="1"/>
    <col min="3" max="3" width="12.796875" style="206" customWidth="1"/>
    <col min="4" max="4" width="9.796875" style="207" customWidth="1"/>
    <col min="5" max="5" width="0.3984375" style="207" hidden="1" customWidth="1"/>
    <col min="6" max="6" width="15.46484375" style="207" customWidth="1"/>
    <col min="7" max="7" width="21.6640625" style="167" customWidth="1"/>
    <col min="8" max="8" width="10.9296875" style="168" customWidth="1"/>
    <col min="9" max="9" width="17.33203125" style="168" customWidth="1"/>
    <col min="10" max="10" width="28.86328125" style="167" customWidth="1"/>
    <col min="11" max="11" width="24.19921875" style="167" customWidth="1"/>
    <col min="12" max="12" width="20.3984375" style="167" customWidth="1"/>
    <col min="13" max="13" width="20.265625" style="167" customWidth="1"/>
    <col min="14" max="14" width="22.1328125" style="167" customWidth="1"/>
    <col min="15" max="15" width="13.19921875" style="167" customWidth="1"/>
    <col min="16" max="16384" width="9.06640625" style="167"/>
  </cols>
  <sheetData>
    <row r="1" spans="1:16" hidden="1" x14ac:dyDescent="0.45">
      <c r="A1" s="175"/>
      <c r="B1" s="172"/>
      <c r="C1" s="209"/>
      <c r="D1" s="222"/>
      <c r="E1" s="222"/>
      <c r="F1" s="225" t="s">
        <v>390</v>
      </c>
      <c r="G1" s="226">
        <v>0.9</v>
      </c>
      <c r="H1" s="210"/>
      <c r="I1" s="210"/>
      <c r="J1" s="175"/>
      <c r="K1" s="175"/>
      <c r="L1" s="175"/>
      <c r="M1" s="175"/>
      <c r="N1" s="175"/>
      <c r="O1" s="175"/>
      <c r="P1" s="175"/>
    </row>
    <row r="2" spans="1:16" hidden="1" x14ac:dyDescent="0.45">
      <c r="A2" s="175"/>
      <c r="B2" s="172"/>
      <c r="C2" s="209"/>
      <c r="D2" s="227"/>
      <c r="E2" s="227"/>
      <c r="F2" s="227">
        <f>SUM(F7:F30)</f>
        <v>0</v>
      </c>
      <c r="G2" s="228">
        <f>F2*G1</f>
        <v>0</v>
      </c>
      <c r="H2" s="210"/>
      <c r="I2" s="210"/>
      <c r="J2" s="175"/>
      <c r="K2" s="175"/>
      <c r="L2" s="175"/>
      <c r="M2" s="175"/>
      <c r="N2" s="175"/>
      <c r="O2" s="175"/>
      <c r="P2" s="175"/>
    </row>
    <row r="3" spans="1:16" s="169" customFormat="1" ht="32.25" customHeight="1" x14ac:dyDescent="0.45">
      <c r="A3" s="171"/>
      <c r="B3" s="299">
        <f>General!I5</f>
        <v>2017</v>
      </c>
      <c r="C3" s="240" t="s">
        <v>393</v>
      </c>
      <c r="D3" s="227"/>
      <c r="E3" s="227"/>
      <c r="F3" s="227"/>
      <c r="G3" s="227"/>
      <c r="H3" s="173"/>
      <c r="I3" s="173"/>
      <c r="J3" s="171"/>
      <c r="K3" s="171"/>
      <c r="L3" s="171"/>
      <c r="M3" s="171"/>
      <c r="N3" s="171"/>
      <c r="O3" s="171"/>
      <c r="P3" s="171"/>
    </row>
    <row r="4" spans="1:16" s="169" customFormat="1" ht="14.65" thickBot="1" x14ac:dyDescent="0.5">
      <c r="A4" s="171"/>
      <c r="B4" s="172"/>
      <c r="C4" s="220"/>
      <c r="D4" s="222"/>
      <c r="E4" s="222"/>
      <c r="F4" s="222"/>
      <c r="G4" s="171"/>
      <c r="H4" s="173"/>
      <c r="I4" s="173"/>
      <c r="J4" s="171"/>
      <c r="K4" s="171"/>
      <c r="L4" s="171"/>
      <c r="M4" s="171"/>
      <c r="N4" s="171"/>
      <c r="O4" s="171"/>
      <c r="P4" s="171"/>
    </row>
    <row r="5" spans="1:16" s="170" customFormat="1" ht="14.65" thickTop="1" x14ac:dyDescent="0.45">
      <c r="A5" s="172"/>
      <c r="B5" s="211"/>
      <c r="C5" s="212" t="s">
        <v>371</v>
      </c>
      <c r="D5" s="213" t="s">
        <v>379</v>
      </c>
      <c r="E5" s="213" t="s">
        <v>391</v>
      </c>
      <c r="F5" s="213" t="s">
        <v>390</v>
      </c>
      <c r="G5" s="214" t="s">
        <v>372</v>
      </c>
      <c r="H5" s="214" t="s">
        <v>373</v>
      </c>
      <c r="I5" s="214" t="s">
        <v>374</v>
      </c>
      <c r="J5" s="214" t="s">
        <v>375</v>
      </c>
      <c r="K5" s="214" t="s">
        <v>388</v>
      </c>
      <c r="L5" s="214" t="s">
        <v>389</v>
      </c>
      <c r="M5" s="214" t="s">
        <v>378</v>
      </c>
      <c r="N5" s="214" t="s">
        <v>377</v>
      </c>
      <c r="O5" s="215" t="s">
        <v>376</v>
      </c>
      <c r="P5" s="172"/>
    </row>
    <row r="6" spans="1:16" s="208" customFormat="1" ht="14.65" thickBot="1" x14ac:dyDescent="0.5">
      <c r="A6" s="172"/>
      <c r="B6" s="231" t="s">
        <v>166</v>
      </c>
      <c r="C6" s="232">
        <v>24590.78</v>
      </c>
      <c r="D6" s="233" t="s">
        <v>380</v>
      </c>
      <c r="E6" s="234">
        <v>1.6244000000000001</v>
      </c>
      <c r="F6" s="235" t="s">
        <v>392</v>
      </c>
      <c r="G6" s="236" t="s">
        <v>381</v>
      </c>
      <c r="H6" s="237">
        <v>74456</v>
      </c>
      <c r="I6" s="237">
        <v>56745667</v>
      </c>
      <c r="J6" s="236" t="s">
        <v>382</v>
      </c>
      <c r="K6" s="236" t="s">
        <v>386</v>
      </c>
      <c r="L6" s="236" t="s">
        <v>387</v>
      </c>
      <c r="M6" s="236" t="s">
        <v>383</v>
      </c>
      <c r="N6" s="236" t="s">
        <v>384</v>
      </c>
      <c r="O6" s="238" t="s">
        <v>385</v>
      </c>
      <c r="P6" s="216"/>
    </row>
    <row r="7" spans="1:16" s="169" customFormat="1" ht="17.75" customHeight="1" thickTop="1" x14ac:dyDescent="0.45">
      <c r="A7" s="172"/>
      <c r="B7" s="211">
        <v>1</v>
      </c>
      <c r="C7" s="250"/>
      <c r="D7" s="251"/>
      <c r="E7" s="279" t="str">
        <f>IF(C7="","",VLOOKUP($B$3,Exchange_Rates!$A$2:$B$19,2,FALSE))</f>
        <v/>
      </c>
      <c r="F7" s="243" t="str">
        <f>IF(C7="","",C7*E7)</f>
        <v/>
      </c>
      <c r="G7" s="291"/>
      <c r="H7" s="290"/>
      <c r="I7" s="290"/>
      <c r="J7" s="291"/>
      <c r="K7" s="291"/>
      <c r="L7" s="291"/>
      <c r="M7" s="291"/>
      <c r="N7" s="291"/>
      <c r="O7" s="289"/>
      <c r="P7" s="171"/>
    </row>
    <row r="8" spans="1:16" s="169" customFormat="1" ht="17.75" customHeight="1" x14ac:dyDescent="0.45">
      <c r="A8" s="171"/>
      <c r="B8" s="217">
        <v>2</v>
      </c>
      <c r="C8" s="245"/>
      <c r="D8" s="246"/>
      <c r="E8" s="280" t="str">
        <f>IF(C8="","",VLOOKUP($B$3,Exchange_Rates!$A$2:$B$19,2,FALSE))</f>
        <v/>
      </c>
      <c r="F8" s="244" t="str">
        <f>IF(C8="","",C8*E8)</f>
        <v/>
      </c>
      <c r="G8" s="288"/>
      <c r="H8" s="287"/>
      <c r="I8" s="287"/>
      <c r="J8" s="288"/>
      <c r="K8" s="288"/>
      <c r="L8" s="288"/>
      <c r="M8" s="288"/>
      <c r="N8" s="288"/>
      <c r="O8" s="286"/>
      <c r="P8" s="171"/>
    </row>
    <row r="9" spans="1:16" s="169" customFormat="1" ht="17.75" customHeight="1" x14ac:dyDescent="0.45">
      <c r="A9" s="171"/>
      <c r="B9" s="217">
        <v>3</v>
      </c>
      <c r="C9" s="245"/>
      <c r="D9" s="246"/>
      <c r="E9" s="280" t="str">
        <f>IF(C9="","",VLOOKUP($B$3,Exchange_Rates!$A$2:$B$19,2,FALSE))</f>
        <v/>
      </c>
      <c r="F9" s="244" t="str">
        <f t="shared" ref="F9:F25" si="0">IF(C9="","",C9*E9)</f>
        <v/>
      </c>
      <c r="G9" s="288"/>
      <c r="H9" s="287"/>
      <c r="I9" s="287"/>
      <c r="J9" s="288"/>
      <c r="K9" s="288"/>
      <c r="L9" s="288"/>
      <c r="M9" s="288"/>
      <c r="N9" s="288"/>
      <c r="O9" s="286"/>
      <c r="P9" s="171"/>
    </row>
    <row r="10" spans="1:16" s="169" customFormat="1" ht="17.75" customHeight="1" x14ac:dyDescent="0.45">
      <c r="A10" s="171"/>
      <c r="B10" s="217">
        <v>4</v>
      </c>
      <c r="C10" s="245"/>
      <c r="D10" s="246"/>
      <c r="E10" s="280" t="str">
        <f>IF(C10="","",VLOOKUP($B$3,Exchange_Rates!$A$2:$B$19,2,FALSE))</f>
        <v/>
      </c>
      <c r="F10" s="244" t="str">
        <f t="shared" si="0"/>
        <v/>
      </c>
      <c r="G10" s="288"/>
      <c r="H10" s="287"/>
      <c r="I10" s="287"/>
      <c r="J10" s="288"/>
      <c r="K10" s="288"/>
      <c r="L10" s="288"/>
      <c r="M10" s="288"/>
      <c r="N10" s="288"/>
      <c r="O10" s="286"/>
      <c r="P10" s="171"/>
    </row>
    <row r="11" spans="1:16" s="169" customFormat="1" ht="17.75" customHeight="1" x14ac:dyDescent="0.45">
      <c r="A11" s="171"/>
      <c r="B11" s="217">
        <v>5</v>
      </c>
      <c r="C11" s="245"/>
      <c r="D11" s="246"/>
      <c r="E11" s="280" t="str">
        <f>IF(C11="","",VLOOKUP($B$3,Exchange_Rates!$A$2:$B$19,2,FALSE))</f>
        <v/>
      </c>
      <c r="F11" s="244" t="str">
        <f t="shared" si="0"/>
        <v/>
      </c>
      <c r="G11" s="288"/>
      <c r="H11" s="287"/>
      <c r="I11" s="287"/>
      <c r="J11" s="288"/>
      <c r="K11" s="288"/>
      <c r="L11" s="288"/>
      <c r="M11" s="288"/>
      <c r="N11" s="288"/>
      <c r="O11" s="286"/>
      <c r="P11" s="171"/>
    </row>
    <row r="12" spans="1:16" s="169" customFormat="1" ht="17.75" customHeight="1" x14ac:dyDescent="0.45">
      <c r="A12" s="171"/>
      <c r="B12" s="217">
        <v>6</v>
      </c>
      <c r="C12" s="245"/>
      <c r="D12" s="246"/>
      <c r="E12" s="280" t="str">
        <f>IF(C12="","",VLOOKUP($B$3,Exchange_Rates!$A$2:$B$19,2,FALSE))</f>
        <v/>
      </c>
      <c r="F12" s="244" t="str">
        <f t="shared" si="0"/>
        <v/>
      </c>
      <c r="G12" s="288"/>
      <c r="H12" s="287"/>
      <c r="I12" s="287"/>
      <c r="J12" s="288"/>
      <c r="K12" s="288"/>
      <c r="L12" s="288"/>
      <c r="M12" s="288"/>
      <c r="N12" s="288"/>
      <c r="O12" s="286"/>
      <c r="P12" s="171"/>
    </row>
    <row r="13" spans="1:16" s="169" customFormat="1" ht="17.75" customHeight="1" x14ac:dyDescent="0.45">
      <c r="A13" s="171"/>
      <c r="B13" s="217">
        <v>7</v>
      </c>
      <c r="C13" s="245"/>
      <c r="D13" s="246"/>
      <c r="E13" s="280" t="str">
        <f>IF(C13="","",VLOOKUP($B$3,Exchange_Rates!$A$2:$B$19,2,FALSE))</f>
        <v/>
      </c>
      <c r="F13" s="244" t="str">
        <f t="shared" si="0"/>
        <v/>
      </c>
      <c r="G13" s="288"/>
      <c r="H13" s="287"/>
      <c r="I13" s="287"/>
      <c r="J13" s="288"/>
      <c r="K13" s="288"/>
      <c r="L13" s="288"/>
      <c r="M13" s="288"/>
      <c r="N13" s="288"/>
      <c r="O13" s="286"/>
      <c r="P13" s="171"/>
    </row>
    <row r="14" spans="1:16" s="169" customFormat="1" ht="17.75" customHeight="1" x14ac:dyDescent="0.45">
      <c r="A14" s="171"/>
      <c r="B14" s="217">
        <v>8</v>
      </c>
      <c r="C14" s="245"/>
      <c r="D14" s="246"/>
      <c r="E14" s="280" t="str">
        <f>IF(C14="","",VLOOKUP($B$3,Exchange_Rates!$A$2:$B$19,2,FALSE))</f>
        <v/>
      </c>
      <c r="F14" s="244" t="str">
        <f t="shared" si="0"/>
        <v/>
      </c>
      <c r="G14" s="288"/>
      <c r="H14" s="287"/>
      <c r="I14" s="287"/>
      <c r="J14" s="288"/>
      <c r="K14" s="288"/>
      <c r="L14" s="288"/>
      <c r="M14" s="288"/>
      <c r="N14" s="288"/>
      <c r="O14" s="286"/>
      <c r="P14" s="171"/>
    </row>
    <row r="15" spans="1:16" s="169" customFormat="1" ht="17.75" customHeight="1" x14ac:dyDescent="0.45">
      <c r="A15" s="171"/>
      <c r="B15" s="217">
        <v>9</v>
      </c>
      <c r="C15" s="245"/>
      <c r="D15" s="246"/>
      <c r="E15" s="280" t="str">
        <f>IF(C15="","",VLOOKUP($B$3,Exchange_Rates!$A$2:$B$19,2,FALSE))</f>
        <v/>
      </c>
      <c r="F15" s="244" t="str">
        <f t="shared" si="0"/>
        <v/>
      </c>
      <c r="G15" s="288"/>
      <c r="H15" s="287"/>
      <c r="I15" s="287"/>
      <c r="J15" s="288"/>
      <c r="K15" s="288"/>
      <c r="L15" s="288"/>
      <c r="M15" s="288"/>
      <c r="N15" s="288"/>
      <c r="O15" s="286"/>
      <c r="P15" s="171"/>
    </row>
    <row r="16" spans="1:16" s="169" customFormat="1" ht="17.75" customHeight="1" x14ac:dyDescent="0.45">
      <c r="A16" s="171"/>
      <c r="B16" s="217">
        <v>10</v>
      </c>
      <c r="C16" s="245"/>
      <c r="D16" s="246"/>
      <c r="E16" s="280" t="str">
        <f>IF(C16="","",VLOOKUP($B$3,Exchange_Rates!$A$2:$B$19,2,FALSE))</f>
        <v/>
      </c>
      <c r="F16" s="244" t="str">
        <f t="shared" si="0"/>
        <v/>
      </c>
      <c r="G16" s="288"/>
      <c r="H16" s="287"/>
      <c r="I16" s="287"/>
      <c r="J16" s="288"/>
      <c r="K16" s="288"/>
      <c r="L16" s="288"/>
      <c r="M16" s="288"/>
      <c r="N16" s="288"/>
      <c r="O16" s="286"/>
      <c r="P16" s="171"/>
    </row>
    <row r="17" spans="1:16" s="169" customFormat="1" x14ac:dyDescent="0.45">
      <c r="A17" s="171"/>
      <c r="B17" s="217">
        <v>11</v>
      </c>
      <c r="C17" s="245"/>
      <c r="D17" s="246"/>
      <c r="E17" s="280" t="str">
        <f>IF(C17="","",VLOOKUP($B$3,Exchange_Rates!$A$2:$B$19,2,FALSE))</f>
        <v/>
      </c>
      <c r="F17" s="244" t="str">
        <f t="shared" si="0"/>
        <v/>
      </c>
      <c r="G17" s="288"/>
      <c r="H17" s="287"/>
      <c r="I17" s="287"/>
      <c r="J17" s="288"/>
      <c r="K17" s="288"/>
      <c r="L17" s="288"/>
      <c r="M17" s="288"/>
      <c r="N17" s="288"/>
      <c r="O17" s="286"/>
      <c r="P17" s="171"/>
    </row>
    <row r="18" spans="1:16" s="169" customFormat="1" x14ac:dyDescent="0.45">
      <c r="A18" s="171"/>
      <c r="B18" s="217">
        <v>12</v>
      </c>
      <c r="C18" s="245"/>
      <c r="D18" s="246"/>
      <c r="E18" s="280" t="str">
        <f>IF(C18="","",VLOOKUP($B$3,Exchange_Rates!$A$2:$B$19,2,FALSE))</f>
        <v/>
      </c>
      <c r="F18" s="244" t="str">
        <f t="shared" si="0"/>
        <v/>
      </c>
      <c r="G18" s="288"/>
      <c r="H18" s="287"/>
      <c r="I18" s="287"/>
      <c r="J18" s="288"/>
      <c r="K18" s="288"/>
      <c r="L18" s="288"/>
      <c r="M18" s="288"/>
      <c r="N18" s="288"/>
      <c r="O18" s="286"/>
      <c r="P18" s="171"/>
    </row>
    <row r="19" spans="1:16" s="169" customFormat="1" x14ac:dyDescent="0.45">
      <c r="A19" s="171"/>
      <c r="B19" s="217">
        <v>13</v>
      </c>
      <c r="C19" s="245"/>
      <c r="D19" s="246"/>
      <c r="E19" s="280" t="str">
        <f>IF(C19="","",VLOOKUP($B$3,Exchange_Rates!$A$2:$B$19,2,FALSE))</f>
        <v/>
      </c>
      <c r="F19" s="244" t="str">
        <f t="shared" si="0"/>
        <v/>
      </c>
      <c r="G19" s="288"/>
      <c r="H19" s="287"/>
      <c r="I19" s="287"/>
      <c r="J19" s="288"/>
      <c r="K19" s="288"/>
      <c r="L19" s="288"/>
      <c r="M19" s="288"/>
      <c r="N19" s="288"/>
      <c r="O19" s="286"/>
      <c r="P19" s="171"/>
    </row>
    <row r="20" spans="1:16" s="169" customFormat="1" x14ac:dyDescent="0.45">
      <c r="A20" s="171"/>
      <c r="B20" s="217">
        <v>14</v>
      </c>
      <c r="C20" s="245"/>
      <c r="D20" s="246"/>
      <c r="E20" s="280" t="str">
        <f>IF(C20="","",VLOOKUP($B$3,Exchange_Rates!$A$2:$B$19,2,FALSE))</f>
        <v/>
      </c>
      <c r="F20" s="244" t="str">
        <f t="shared" si="0"/>
        <v/>
      </c>
      <c r="G20" s="288"/>
      <c r="H20" s="287"/>
      <c r="I20" s="287"/>
      <c r="J20" s="288"/>
      <c r="K20" s="288"/>
      <c r="L20" s="288"/>
      <c r="M20" s="288"/>
      <c r="N20" s="288"/>
      <c r="O20" s="286"/>
      <c r="P20" s="171"/>
    </row>
    <row r="21" spans="1:16" s="169" customFormat="1" x14ac:dyDescent="0.45">
      <c r="A21" s="171"/>
      <c r="B21" s="217">
        <v>15</v>
      </c>
      <c r="C21" s="245"/>
      <c r="D21" s="246"/>
      <c r="E21" s="280" t="str">
        <f>IF(C21="","",VLOOKUP($B$3,Exchange_Rates!$A$2:$B$19,2,FALSE))</f>
        <v/>
      </c>
      <c r="F21" s="244" t="str">
        <f t="shared" si="0"/>
        <v/>
      </c>
      <c r="G21" s="288"/>
      <c r="H21" s="287"/>
      <c r="I21" s="287"/>
      <c r="J21" s="288"/>
      <c r="K21" s="288"/>
      <c r="L21" s="288"/>
      <c r="M21" s="288"/>
      <c r="N21" s="288"/>
      <c r="O21" s="286"/>
      <c r="P21" s="171"/>
    </row>
    <row r="22" spans="1:16" s="169" customFormat="1" x14ac:dyDescent="0.45">
      <c r="A22" s="171"/>
      <c r="B22" s="217">
        <v>16</v>
      </c>
      <c r="C22" s="245"/>
      <c r="D22" s="246"/>
      <c r="E22" s="280" t="str">
        <f>IF(C22="","",VLOOKUP($B$3,Exchange_Rates!$A$2:$B$19,2,FALSE))</f>
        <v/>
      </c>
      <c r="F22" s="244" t="str">
        <f t="shared" si="0"/>
        <v/>
      </c>
      <c r="G22" s="288"/>
      <c r="H22" s="287"/>
      <c r="I22" s="287"/>
      <c r="J22" s="288"/>
      <c r="K22" s="288"/>
      <c r="L22" s="288"/>
      <c r="M22" s="288"/>
      <c r="N22" s="288"/>
      <c r="O22" s="286"/>
      <c r="P22" s="171"/>
    </row>
    <row r="23" spans="1:16" s="169" customFormat="1" x14ac:dyDescent="0.45">
      <c r="A23" s="171"/>
      <c r="B23" s="217">
        <v>17</v>
      </c>
      <c r="C23" s="245"/>
      <c r="D23" s="246"/>
      <c r="E23" s="280" t="str">
        <f>IF(C23="","",VLOOKUP($B$3,Exchange_Rates!$A$2:$B$19,2,FALSE))</f>
        <v/>
      </c>
      <c r="F23" s="244" t="str">
        <f t="shared" si="0"/>
        <v/>
      </c>
      <c r="G23" s="288"/>
      <c r="H23" s="287"/>
      <c r="I23" s="287"/>
      <c r="J23" s="288"/>
      <c r="K23" s="288"/>
      <c r="L23" s="288"/>
      <c r="M23" s="288"/>
      <c r="N23" s="288"/>
      <c r="O23" s="286"/>
      <c r="P23" s="171"/>
    </row>
    <row r="24" spans="1:16" s="169" customFormat="1" x14ac:dyDescent="0.45">
      <c r="A24" s="171"/>
      <c r="B24" s="217">
        <v>18</v>
      </c>
      <c r="C24" s="245"/>
      <c r="D24" s="246"/>
      <c r="E24" s="280" t="str">
        <f>IF(C24="","",VLOOKUP($B$3,Exchange_Rates!$A$2:$B$19,2,FALSE))</f>
        <v/>
      </c>
      <c r="F24" s="244" t="str">
        <f t="shared" si="0"/>
        <v/>
      </c>
      <c r="G24" s="288"/>
      <c r="H24" s="285"/>
      <c r="I24" s="285"/>
      <c r="J24" s="288"/>
      <c r="K24" s="288"/>
      <c r="L24" s="288"/>
      <c r="M24" s="288"/>
      <c r="N24" s="288"/>
      <c r="O24" s="286"/>
      <c r="P24" s="171"/>
    </row>
    <row r="25" spans="1:16" s="169" customFormat="1" x14ac:dyDescent="0.45">
      <c r="A25" s="171"/>
      <c r="B25" s="217">
        <v>19</v>
      </c>
      <c r="C25" s="245"/>
      <c r="D25" s="246"/>
      <c r="E25" s="280" t="str">
        <f>IF(C25="","",VLOOKUP($B$3,Exchange_Rates!$A$2:$B$19,2,FALSE))</f>
        <v/>
      </c>
      <c r="F25" s="244" t="str">
        <f t="shared" si="0"/>
        <v/>
      </c>
      <c r="G25" s="288"/>
      <c r="H25" s="285"/>
      <c r="I25" s="285"/>
      <c r="J25" s="288"/>
      <c r="K25" s="288"/>
      <c r="L25" s="288"/>
      <c r="M25" s="288"/>
      <c r="N25" s="288"/>
      <c r="O25" s="286"/>
      <c r="P25" s="171"/>
    </row>
    <row r="26" spans="1:16" s="169" customFormat="1" ht="14.65" thickBot="1" x14ac:dyDescent="0.5">
      <c r="A26" s="171"/>
      <c r="B26" s="239">
        <v>20</v>
      </c>
      <c r="C26" s="247"/>
      <c r="D26" s="248"/>
      <c r="E26" s="281" t="str">
        <f>IF(C26="","",VLOOKUP($B$3,Exchange_Rates!$A$2:$B$19,2,FALSE))</f>
        <v/>
      </c>
      <c r="F26" s="249" t="str">
        <f>IF(C26="","",C26*E26)</f>
        <v/>
      </c>
      <c r="G26" s="284"/>
      <c r="H26" s="283"/>
      <c r="I26" s="283"/>
      <c r="J26" s="284"/>
      <c r="K26" s="284"/>
      <c r="L26" s="284"/>
      <c r="M26" s="284"/>
      <c r="N26" s="284"/>
      <c r="O26" s="282"/>
      <c r="P26" s="171"/>
    </row>
    <row r="27" spans="1:16" s="169" customFormat="1" ht="14.65" thickTop="1" x14ac:dyDescent="0.45">
      <c r="A27" s="171"/>
      <c r="B27" s="172"/>
      <c r="C27" s="221"/>
      <c r="D27" s="223"/>
      <c r="E27" s="223"/>
      <c r="F27" s="229"/>
      <c r="G27" s="241"/>
      <c r="H27" s="242"/>
      <c r="I27" s="242"/>
      <c r="J27" s="241"/>
      <c r="K27" s="241"/>
      <c r="L27" s="241"/>
      <c r="M27" s="241"/>
      <c r="N27" s="241"/>
      <c r="O27" s="241"/>
      <c r="P27" s="171"/>
    </row>
    <row r="28" spans="1:16" s="169" customFormat="1" x14ac:dyDescent="0.45">
      <c r="B28" s="170"/>
      <c r="C28" s="221"/>
      <c r="D28" s="223"/>
      <c r="E28" s="223"/>
      <c r="F28" s="224"/>
      <c r="G28" s="241"/>
      <c r="H28" s="242"/>
      <c r="I28" s="242"/>
      <c r="J28" s="241"/>
      <c r="K28" s="241"/>
      <c r="L28" s="241"/>
      <c r="M28" s="241"/>
      <c r="N28" s="241"/>
      <c r="O28" s="241"/>
    </row>
    <row r="29" spans="1:16" s="169" customFormat="1" x14ac:dyDescent="0.45">
      <c r="B29" s="170"/>
      <c r="C29" s="221"/>
      <c r="D29" s="223"/>
      <c r="E29" s="223"/>
      <c r="F29" s="207"/>
      <c r="G29" s="241"/>
      <c r="H29" s="242"/>
      <c r="I29" s="242"/>
      <c r="J29" s="241"/>
      <c r="K29" s="241"/>
      <c r="L29" s="241"/>
      <c r="M29" s="241"/>
      <c r="N29" s="241"/>
      <c r="O29" s="241"/>
    </row>
    <row r="30" spans="1:16" s="169" customFormat="1" x14ac:dyDescent="0.45">
      <c r="B30" s="170"/>
      <c r="C30" s="221"/>
      <c r="D30" s="223"/>
      <c r="E30" s="223"/>
      <c r="F30" s="207"/>
      <c r="G30" s="241"/>
      <c r="H30" s="242"/>
      <c r="I30" s="242"/>
      <c r="J30" s="241"/>
      <c r="K30" s="241"/>
      <c r="L30" s="241"/>
      <c r="M30" s="241"/>
      <c r="N30" s="241"/>
      <c r="O30" s="241"/>
    </row>
    <row r="31" spans="1:16" s="169" customFormat="1" x14ac:dyDescent="0.45">
      <c r="B31" s="170"/>
      <c r="C31" s="221"/>
      <c r="D31" s="223"/>
      <c r="E31" s="223"/>
      <c r="F31" s="207"/>
      <c r="G31" s="241"/>
      <c r="H31" s="242"/>
      <c r="I31" s="242"/>
      <c r="J31" s="241"/>
      <c r="K31" s="241"/>
      <c r="L31" s="241"/>
      <c r="M31" s="241"/>
      <c r="N31" s="241"/>
      <c r="O31" s="241"/>
    </row>
    <row r="32" spans="1:16" s="169" customFormat="1" x14ac:dyDescent="0.45">
      <c r="B32" s="170"/>
      <c r="C32" s="221"/>
      <c r="D32" s="223"/>
      <c r="E32" s="223"/>
      <c r="F32" s="207"/>
      <c r="G32" s="241"/>
      <c r="H32" s="242"/>
      <c r="I32" s="242"/>
      <c r="J32" s="241"/>
      <c r="K32" s="241"/>
      <c r="L32" s="241"/>
      <c r="M32" s="241"/>
      <c r="N32" s="241"/>
      <c r="O32" s="241"/>
    </row>
    <row r="33" spans="2:15" s="169" customFormat="1" x14ac:dyDescent="0.45">
      <c r="B33" s="170"/>
      <c r="C33" s="221"/>
      <c r="D33" s="223"/>
      <c r="E33" s="223"/>
      <c r="F33" s="207"/>
      <c r="G33" s="241"/>
      <c r="H33" s="242"/>
      <c r="I33" s="242"/>
      <c r="J33" s="241"/>
      <c r="K33" s="241"/>
      <c r="L33" s="241"/>
      <c r="M33" s="241"/>
      <c r="N33" s="241"/>
      <c r="O33" s="241"/>
    </row>
    <row r="34" spans="2:15" s="169" customFormat="1" x14ac:dyDescent="0.45">
      <c r="B34" s="170"/>
      <c r="C34" s="221"/>
      <c r="D34" s="223"/>
      <c r="E34" s="223"/>
      <c r="F34" s="207"/>
      <c r="G34" s="241"/>
      <c r="H34" s="242"/>
      <c r="I34" s="242"/>
      <c r="J34" s="241"/>
      <c r="K34" s="241"/>
      <c r="L34" s="241"/>
      <c r="M34" s="241"/>
      <c r="N34" s="241"/>
      <c r="O34" s="241"/>
    </row>
    <row r="35" spans="2:15" s="169" customFormat="1" x14ac:dyDescent="0.45">
      <c r="B35" s="170"/>
      <c r="C35" s="221"/>
      <c r="D35" s="223"/>
      <c r="E35" s="223"/>
      <c r="F35" s="207"/>
      <c r="G35" s="241"/>
      <c r="H35" s="242"/>
      <c r="I35" s="242"/>
      <c r="J35" s="241"/>
      <c r="K35" s="241"/>
      <c r="L35" s="241"/>
      <c r="M35" s="241"/>
      <c r="N35" s="241"/>
      <c r="O35" s="241"/>
    </row>
    <row r="36" spans="2:15" s="169" customFormat="1" x14ac:dyDescent="0.45">
      <c r="B36" s="170"/>
      <c r="C36" s="221"/>
      <c r="D36" s="223"/>
      <c r="E36" s="223"/>
      <c r="F36" s="207"/>
      <c r="G36" s="241"/>
      <c r="H36" s="242"/>
      <c r="I36" s="242"/>
      <c r="J36" s="241"/>
      <c r="K36" s="241"/>
      <c r="L36" s="241"/>
      <c r="M36" s="241"/>
      <c r="N36" s="241"/>
      <c r="O36" s="241"/>
    </row>
    <row r="37" spans="2:15" s="169" customFormat="1" x14ac:dyDescent="0.45">
      <c r="B37" s="170"/>
      <c r="C37" s="221"/>
      <c r="D37" s="223"/>
      <c r="E37" s="223"/>
      <c r="F37" s="207"/>
      <c r="G37" s="241"/>
      <c r="H37" s="242"/>
      <c r="I37" s="242"/>
      <c r="J37" s="241"/>
      <c r="K37" s="241"/>
      <c r="L37" s="241"/>
      <c r="M37" s="241"/>
      <c r="N37" s="241"/>
      <c r="O37" s="241"/>
    </row>
    <row r="38" spans="2:15" s="169" customFormat="1" x14ac:dyDescent="0.45">
      <c r="B38" s="170"/>
      <c r="C38" s="221"/>
      <c r="D38" s="223"/>
      <c r="E38" s="223"/>
      <c r="F38" s="207"/>
      <c r="G38" s="241"/>
      <c r="H38" s="242"/>
      <c r="I38" s="242"/>
      <c r="J38" s="241"/>
      <c r="K38" s="241"/>
      <c r="L38" s="241"/>
      <c r="M38" s="241"/>
      <c r="N38" s="241"/>
      <c r="O38" s="241"/>
    </row>
    <row r="39" spans="2:15" s="169" customFormat="1" x14ac:dyDescent="0.45">
      <c r="B39" s="170"/>
      <c r="C39" s="221"/>
      <c r="D39" s="223"/>
      <c r="E39" s="223"/>
      <c r="F39" s="207"/>
      <c r="G39" s="241"/>
      <c r="H39" s="242"/>
      <c r="I39" s="242"/>
      <c r="J39" s="241"/>
      <c r="K39" s="241"/>
      <c r="L39" s="241"/>
      <c r="M39" s="241"/>
      <c r="N39" s="241"/>
      <c r="O39" s="241"/>
    </row>
    <row r="40" spans="2:15" s="169" customFormat="1" x14ac:dyDescent="0.45">
      <c r="B40" s="170"/>
      <c r="C40" s="221"/>
      <c r="D40" s="223"/>
      <c r="E40" s="223"/>
      <c r="F40" s="207"/>
      <c r="G40" s="241"/>
      <c r="H40" s="242"/>
      <c r="I40" s="242"/>
      <c r="J40" s="241"/>
      <c r="K40" s="241"/>
      <c r="L40" s="241"/>
      <c r="M40" s="241"/>
      <c r="N40" s="241"/>
      <c r="O40" s="241"/>
    </row>
    <row r="41" spans="2:15" s="169" customFormat="1" x14ac:dyDescent="0.45">
      <c r="B41" s="170"/>
      <c r="C41" s="221"/>
      <c r="D41" s="223"/>
      <c r="E41" s="223"/>
      <c r="F41" s="207"/>
      <c r="G41" s="241"/>
      <c r="H41" s="242"/>
      <c r="I41" s="242"/>
      <c r="J41" s="241"/>
      <c r="K41" s="241"/>
      <c r="L41" s="241"/>
      <c r="M41" s="241"/>
      <c r="N41" s="241"/>
      <c r="O41" s="241"/>
    </row>
    <row r="42" spans="2:15" s="169" customFormat="1" x14ac:dyDescent="0.45">
      <c r="B42" s="170"/>
      <c r="C42" s="221"/>
      <c r="D42" s="223"/>
      <c r="E42" s="223"/>
      <c r="F42" s="207"/>
      <c r="G42" s="241"/>
      <c r="H42" s="242"/>
      <c r="I42" s="242"/>
      <c r="J42" s="241"/>
      <c r="K42" s="241"/>
      <c r="L42" s="241"/>
      <c r="M42" s="241"/>
      <c r="N42" s="241"/>
      <c r="O42" s="241"/>
    </row>
    <row r="43" spans="2:15" s="169" customFormat="1" x14ac:dyDescent="0.45">
      <c r="B43" s="170"/>
      <c r="C43" s="221"/>
      <c r="D43" s="223"/>
      <c r="E43" s="223"/>
      <c r="F43" s="207"/>
      <c r="G43" s="241"/>
      <c r="H43" s="242"/>
      <c r="I43" s="242"/>
      <c r="J43" s="241"/>
      <c r="K43" s="241"/>
      <c r="L43" s="241"/>
      <c r="M43" s="241"/>
      <c r="N43" s="241"/>
      <c r="O43" s="241"/>
    </row>
    <row r="44" spans="2:15" s="169" customFormat="1" x14ac:dyDescent="0.45">
      <c r="B44" s="170"/>
      <c r="C44" s="221"/>
      <c r="D44" s="223"/>
      <c r="E44" s="223"/>
      <c r="F44" s="207"/>
      <c r="G44" s="241"/>
      <c r="H44" s="242"/>
      <c r="I44" s="242"/>
      <c r="J44" s="241"/>
      <c r="K44" s="241"/>
      <c r="L44" s="241"/>
      <c r="M44" s="241"/>
      <c r="N44" s="241"/>
      <c r="O44" s="241"/>
    </row>
    <row r="45" spans="2:15" s="169" customFormat="1" x14ac:dyDescent="0.45">
      <c r="B45" s="170"/>
      <c r="C45" s="221"/>
      <c r="D45" s="223"/>
      <c r="E45" s="223"/>
      <c r="F45" s="207"/>
      <c r="G45" s="241"/>
      <c r="H45" s="242"/>
      <c r="I45" s="242"/>
      <c r="J45" s="241"/>
      <c r="K45" s="241"/>
      <c r="L45" s="241"/>
      <c r="M45" s="241"/>
      <c r="N45" s="241"/>
      <c r="O45" s="241"/>
    </row>
    <row r="46" spans="2:15" x14ac:dyDescent="0.45">
      <c r="C46" s="218"/>
      <c r="D46" s="223"/>
      <c r="E46" s="223"/>
      <c r="G46" s="219"/>
      <c r="H46" s="230"/>
      <c r="I46" s="230"/>
      <c r="J46" s="219"/>
      <c r="K46" s="219"/>
      <c r="L46" s="219"/>
      <c r="M46" s="219"/>
      <c r="N46" s="219"/>
      <c r="O46" s="219"/>
    </row>
    <row r="47" spans="2:15" x14ac:dyDescent="0.45">
      <c r="B47" s="167"/>
      <c r="C47" s="218"/>
      <c r="D47" s="223"/>
      <c r="E47" s="223"/>
      <c r="G47" s="219"/>
      <c r="H47" s="230"/>
      <c r="I47" s="230"/>
      <c r="J47" s="219"/>
      <c r="K47" s="219"/>
      <c r="L47" s="219"/>
      <c r="M47" s="219"/>
      <c r="N47" s="219"/>
      <c r="O47" s="219"/>
    </row>
    <row r="48" spans="2:15" x14ac:dyDescent="0.45">
      <c r="B48" s="167"/>
      <c r="C48" s="218"/>
      <c r="D48" s="223"/>
      <c r="E48" s="223"/>
      <c r="G48" s="219"/>
      <c r="H48" s="230"/>
      <c r="I48" s="230"/>
      <c r="J48" s="219"/>
      <c r="K48" s="219"/>
      <c r="L48" s="219"/>
      <c r="M48" s="219"/>
      <c r="N48" s="219"/>
      <c r="O48" s="219"/>
    </row>
    <row r="49" spans="2:15" x14ac:dyDescent="0.45">
      <c r="B49" s="167"/>
      <c r="C49" s="218"/>
      <c r="D49" s="223"/>
      <c r="E49" s="223"/>
      <c r="G49" s="219"/>
      <c r="H49" s="230"/>
      <c r="I49" s="230"/>
      <c r="J49" s="219"/>
      <c r="K49" s="219"/>
      <c r="L49" s="219"/>
      <c r="M49" s="219"/>
      <c r="N49" s="219"/>
      <c r="O49" s="219"/>
    </row>
    <row r="50" spans="2:15" x14ac:dyDescent="0.45">
      <c r="B50" s="167"/>
      <c r="C50" s="218"/>
      <c r="D50" s="223"/>
      <c r="E50" s="223"/>
      <c r="G50" s="219"/>
      <c r="H50" s="230"/>
      <c r="I50" s="230"/>
      <c r="J50" s="219"/>
      <c r="K50" s="219"/>
      <c r="L50" s="219"/>
      <c r="M50" s="219"/>
      <c r="N50" s="219"/>
      <c r="O50" s="219"/>
    </row>
    <row r="51" spans="2:15" x14ac:dyDescent="0.45">
      <c r="B51" s="167"/>
      <c r="C51" s="218"/>
      <c r="D51" s="223"/>
      <c r="E51" s="223"/>
      <c r="G51" s="219"/>
      <c r="H51" s="230"/>
      <c r="I51" s="230"/>
      <c r="J51" s="219"/>
      <c r="K51" s="219"/>
      <c r="L51" s="219"/>
      <c r="M51" s="219"/>
      <c r="N51" s="219"/>
      <c r="O51" s="219"/>
    </row>
    <row r="52" spans="2:15" x14ac:dyDescent="0.45">
      <c r="B52" s="167"/>
      <c r="C52" s="218"/>
      <c r="D52" s="223"/>
      <c r="E52" s="223"/>
      <c r="G52" s="219"/>
      <c r="H52" s="230"/>
      <c r="I52" s="230"/>
      <c r="J52" s="219"/>
      <c r="K52" s="219"/>
      <c r="L52" s="219"/>
      <c r="M52" s="219"/>
      <c r="N52" s="219"/>
      <c r="O52" s="219"/>
    </row>
    <row r="53" spans="2:15" x14ac:dyDescent="0.45">
      <c r="B53" s="167"/>
      <c r="C53" s="218"/>
      <c r="D53" s="223"/>
      <c r="E53" s="223"/>
      <c r="G53" s="219"/>
      <c r="H53" s="230"/>
      <c r="I53" s="230"/>
      <c r="J53" s="219"/>
      <c r="K53" s="219"/>
      <c r="L53" s="219"/>
      <c r="M53" s="219"/>
      <c r="N53" s="219"/>
      <c r="O53" s="219"/>
    </row>
    <row r="54" spans="2:15" x14ac:dyDescent="0.45">
      <c r="B54" s="167"/>
      <c r="C54" s="218"/>
      <c r="D54" s="223"/>
      <c r="E54" s="223"/>
      <c r="G54" s="219"/>
      <c r="H54" s="230"/>
      <c r="I54" s="230"/>
      <c r="J54" s="219"/>
      <c r="K54" s="219"/>
      <c r="L54" s="219"/>
      <c r="M54" s="219"/>
      <c r="N54" s="219"/>
      <c r="O54" s="219"/>
    </row>
    <row r="55" spans="2:15" x14ac:dyDescent="0.45">
      <c r="B55" s="167"/>
      <c r="C55" s="218"/>
      <c r="D55" s="223"/>
      <c r="E55" s="223"/>
      <c r="G55" s="219"/>
      <c r="H55" s="230"/>
      <c r="I55" s="230"/>
      <c r="J55" s="219"/>
      <c r="K55" s="219"/>
      <c r="L55" s="219"/>
      <c r="M55" s="219"/>
      <c r="N55" s="219"/>
      <c r="O55" s="219"/>
    </row>
    <row r="56" spans="2:15" x14ac:dyDescent="0.45">
      <c r="B56" s="167"/>
      <c r="C56" s="218"/>
      <c r="D56" s="223"/>
      <c r="E56" s="223"/>
      <c r="G56" s="219"/>
      <c r="H56" s="230"/>
      <c r="I56" s="230"/>
      <c r="J56" s="219"/>
      <c r="K56" s="219"/>
      <c r="L56" s="219"/>
      <c r="M56" s="219"/>
      <c r="N56" s="219"/>
      <c r="O56" s="219"/>
    </row>
    <row r="57" spans="2:15" x14ac:dyDescent="0.45">
      <c r="B57" s="167"/>
      <c r="C57" s="218"/>
      <c r="D57" s="223"/>
      <c r="E57" s="223"/>
      <c r="G57" s="219"/>
      <c r="H57" s="230"/>
      <c r="I57" s="230"/>
      <c r="J57" s="219"/>
      <c r="K57" s="219"/>
      <c r="L57" s="219"/>
      <c r="M57" s="219"/>
      <c r="N57" s="219"/>
      <c r="O57" s="219"/>
    </row>
    <row r="58" spans="2:15" x14ac:dyDescent="0.45">
      <c r="B58" s="167"/>
      <c r="C58" s="218"/>
      <c r="D58" s="223"/>
      <c r="E58" s="223"/>
      <c r="G58" s="219"/>
      <c r="H58" s="230"/>
      <c r="I58" s="230"/>
      <c r="J58" s="219"/>
      <c r="K58" s="219"/>
      <c r="L58" s="219"/>
      <c r="M58" s="219"/>
      <c r="N58" s="219"/>
      <c r="O58" s="219"/>
    </row>
    <row r="59" spans="2:15" x14ac:dyDescent="0.45">
      <c r="B59" s="167"/>
      <c r="C59" s="218"/>
      <c r="D59" s="223"/>
      <c r="E59" s="223"/>
      <c r="G59" s="219"/>
      <c r="H59" s="230"/>
      <c r="I59" s="230"/>
      <c r="J59" s="219"/>
      <c r="K59" s="219"/>
      <c r="L59" s="219"/>
      <c r="M59" s="219"/>
      <c r="N59" s="219"/>
      <c r="O59" s="219"/>
    </row>
    <row r="60" spans="2:15" x14ac:dyDescent="0.45">
      <c r="B60" s="167"/>
      <c r="C60" s="218"/>
      <c r="D60" s="223"/>
      <c r="E60" s="223"/>
      <c r="G60" s="219"/>
      <c r="H60" s="230"/>
      <c r="I60" s="230"/>
      <c r="J60" s="219"/>
      <c r="K60" s="219"/>
      <c r="L60" s="219"/>
      <c r="M60" s="219"/>
      <c r="N60" s="219"/>
      <c r="O60" s="219"/>
    </row>
    <row r="61" spans="2:15" x14ac:dyDescent="0.45">
      <c r="B61" s="167"/>
      <c r="C61" s="218"/>
      <c r="D61" s="223"/>
      <c r="E61" s="223"/>
      <c r="G61" s="219"/>
      <c r="H61" s="230"/>
      <c r="I61" s="230"/>
      <c r="J61" s="219"/>
      <c r="K61" s="219"/>
      <c r="L61" s="219"/>
      <c r="M61" s="219"/>
      <c r="N61" s="219"/>
      <c r="O61" s="219"/>
    </row>
    <row r="62" spans="2:15" x14ac:dyDescent="0.45">
      <c r="B62" s="167"/>
      <c r="C62" s="218"/>
      <c r="D62" s="223"/>
      <c r="E62" s="223"/>
      <c r="G62" s="219"/>
      <c r="H62" s="230"/>
      <c r="I62" s="230"/>
      <c r="J62" s="219"/>
      <c r="K62" s="219"/>
      <c r="L62" s="219"/>
      <c r="M62" s="219"/>
      <c r="N62" s="219"/>
      <c r="O62" s="219"/>
    </row>
    <row r="63" spans="2:15" x14ac:dyDescent="0.45">
      <c r="B63" s="167"/>
      <c r="C63" s="218"/>
      <c r="D63" s="223"/>
      <c r="E63" s="223"/>
      <c r="G63" s="219"/>
      <c r="H63" s="230"/>
      <c r="I63" s="230"/>
      <c r="J63" s="219"/>
      <c r="K63" s="219"/>
      <c r="L63" s="219"/>
      <c r="M63" s="219"/>
      <c r="N63" s="219"/>
      <c r="O63" s="219"/>
    </row>
    <row r="64" spans="2:15" x14ac:dyDescent="0.45">
      <c r="B64" s="167"/>
      <c r="C64" s="218"/>
      <c r="D64" s="223"/>
      <c r="E64" s="223"/>
      <c r="G64" s="219"/>
      <c r="H64" s="230"/>
      <c r="I64" s="230"/>
      <c r="J64" s="219"/>
      <c r="K64" s="219"/>
      <c r="L64" s="219"/>
      <c r="M64" s="219"/>
      <c r="N64" s="219"/>
      <c r="O64" s="219"/>
    </row>
    <row r="65" spans="2:15" x14ac:dyDescent="0.45">
      <c r="B65" s="167"/>
      <c r="C65" s="218"/>
      <c r="D65" s="223"/>
      <c r="E65" s="223"/>
      <c r="G65" s="219"/>
      <c r="H65" s="230"/>
      <c r="I65" s="230"/>
      <c r="J65" s="219"/>
      <c r="K65" s="219"/>
      <c r="L65" s="219"/>
      <c r="M65" s="219"/>
      <c r="N65" s="219"/>
      <c r="O65" s="219"/>
    </row>
    <row r="66" spans="2:15" x14ac:dyDescent="0.45">
      <c r="B66" s="167"/>
      <c r="C66" s="218"/>
      <c r="D66" s="223"/>
      <c r="E66" s="223"/>
      <c r="G66" s="219"/>
      <c r="H66" s="230"/>
      <c r="I66" s="230"/>
      <c r="J66" s="219"/>
      <c r="K66" s="219"/>
      <c r="L66" s="219"/>
      <c r="M66" s="219"/>
      <c r="N66" s="219"/>
      <c r="O66" s="219"/>
    </row>
    <row r="67" spans="2:15" x14ac:dyDescent="0.45">
      <c r="B67" s="167"/>
      <c r="C67" s="218"/>
      <c r="D67" s="223"/>
      <c r="E67" s="223"/>
      <c r="G67" s="219"/>
      <c r="H67" s="230"/>
      <c r="I67" s="230"/>
      <c r="J67" s="219"/>
      <c r="K67" s="219"/>
      <c r="L67" s="219"/>
      <c r="M67" s="219"/>
      <c r="N67" s="219"/>
      <c r="O67" s="219"/>
    </row>
    <row r="68" spans="2:15" x14ac:dyDescent="0.45">
      <c r="B68" s="167"/>
      <c r="C68" s="218"/>
      <c r="D68" s="223"/>
      <c r="E68" s="223"/>
      <c r="G68" s="219"/>
      <c r="H68" s="230"/>
      <c r="I68" s="230"/>
      <c r="J68" s="219"/>
      <c r="K68" s="219"/>
      <c r="L68" s="219"/>
      <c r="M68" s="219"/>
      <c r="N68" s="219"/>
      <c r="O68" s="219"/>
    </row>
    <row r="69" spans="2:15" x14ac:dyDescent="0.45">
      <c r="B69" s="167"/>
      <c r="C69" s="218"/>
      <c r="D69" s="223"/>
      <c r="E69" s="223"/>
      <c r="G69" s="219"/>
      <c r="H69" s="230"/>
      <c r="I69" s="230"/>
      <c r="J69" s="219"/>
      <c r="K69" s="219"/>
      <c r="L69" s="219"/>
      <c r="M69" s="219"/>
      <c r="N69" s="219"/>
      <c r="O69" s="219"/>
    </row>
    <row r="70" spans="2:15" x14ac:dyDescent="0.45">
      <c r="B70" s="167"/>
      <c r="C70" s="218"/>
      <c r="D70" s="223"/>
      <c r="E70" s="223"/>
      <c r="G70" s="219"/>
      <c r="H70" s="230"/>
      <c r="I70" s="230"/>
      <c r="J70" s="219"/>
      <c r="K70" s="219"/>
      <c r="L70" s="219"/>
      <c r="M70" s="219"/>
      <c r="N70" s="219"/>
      <c r="O70" s="219"/>
    </row>
    <row r="71" spans="2:15" x14ac:dyDescent="0.45">
      <c r="B71" s="167"/>
      <c r="C71" s="218"/>
      <c r="D71" s="223"/>
      <c r="E71" s="223"/>
      <c r="G71" s="219"/>
      <c r="H71" s="230"/>
      <c r="I71" s="230"/>
      <c r="J71" s="219"/>
      <c r="K71" s="219"/>
      <c r="L71" s="219"/>
      <c r="M71" s="219"/>
      <c r="N71" s="219"/>
      <c r="O71" s="219"/>
    </row>
    <row r="72" spans="2:15" x14ac:dyDescent="0.45">
      <c r="B72" s="167"/>
      <c r="C72" s="218"/>
      <c r="D72" s="223"/>
      <c r="E72" s="223"/>
      <c r="G72" s="219"/>
      <c r="H72" s="230"/>
      <c r="I72" s="230"/>
      <c r="J72" s="219"/>
      <c r="K72" s="219"/>
      <c r="L72" s="219"/>
      <c r="M72" s="219"/>
      <c r="N72" s="219"/>
      <c r="O72" s="219"/>
    </row>
    <row r="73" spans="2:15" x14ac:dyDescent="0.45">
      <c r="B73" s="167"/>
      <c r="C73" s="218"/>
      <c r="D73" s="223"/>
      <c r="E73" s="223"/>
      <c r="G73" s="219"/>
      <c r="H73" s="230"/>
      <c r="I73" s="230"/>
      <c r="J73" s="219"/>
      <c r="K73" s="219"/>
      <c r="L73" s="219"/>
      <c r="M73" s="219"/>
      <c r="N73" s="219"/>
      <c r="O73" s="219"/>
    </row>
    <row r="74" spans="2:15" x14ac:dyDescent="0.45">
      <c r="B74" s="167"/>
      <c r="C74" s="218"/>
      <c r="D74" s="223"/>
      <c r="E74" s="223"/>
      <c r="G74" s="219"/>
      <c r="H74" s="230"/>
      <c r="I74" s="230"/>
      <c r="J74" s="219"/>
      <c r="K74" s="219"/>
      <c r="L74" s="219"/>
      <c r="M74" s="219"/>
      <c r="N74" s="219"/>
      <c r="O74" s="219"/>
    </row>
    <row r="75" spans="2:15" x14ac:dyDescent="0.45">
      <c r="B75" s="167"/>
      <c r="C75" s="218"/>
      <c r="D75" s="223"/>
      <c r="E75" s="223"/>
      <c r="G75" s="219"/>
      <c r="H75" s="230"/>
      <c r="I75" s="230"/>
      <c r="J75" s="219"/>
      <c r="K75" s="219"/>
      <c r="L75" s="219"/>
      <c r="M75" s="219"/>
      <c r="N75" s="219"/>
      <c r="O75" s="219"/>
    </row>
    <row r="76" spans="2:15" x14ac:dyDescent="0.45">
      <c r="B76" s="167"/>
      <c r="C76" s="218"/>
      <c r="D76" s="223"/>
      <c r="E76" s="223"/>
      <c r="G76" s="219"/>
      <c r="H76" s="230"/>
      <c r="I76" s="230"/>
      <c r="J76" s="219"/>
      <c r="K76" s="219"/>
      <c r="L76" s="219"/>
      <c r="M76" s="219"/>
      <c r="N76" s="219"/>
      <c r="O76" s="219"/>
    </row>
    <row r="77" spans="2:15" x14ac:dyDescent="0.45">
      <c r="B77" s="167"/>
      <c r="C77" s="218"/>
      <c r="D77" s="223"/>
      <c r="E77" s="223"/>
      <c r="G77" s="219"/>
      <c r="H77" s="230"/>
      <c r="I77" s="230"/>
      <c r="J77" s="219"/>
      <c r="K77" s="219"/>
      <c r="L77" s="219"/>
      <c r="M77" s="219"/>
      <c r="N77" s="219"/>
      <c r="O77" s="219"/>
    </row>
    <row r="78" spans="2:15" x14ac:dyDescent="0.45">
      <c r="B78" s="167"/>
      <c r="C78" s="218"/>
      <c r="D78" s="223"/>
      <c r="E78" s="223"/>
      <c r="G78" s="219"/>
      <c r="H78" s="230"/>
      <c r="I78" s="230"/>
      <c r="J78" s="219"/>
      <c r="K78" s="219"/>
      <c r="L78" s="219"/>
      <c r="M78" s="219"/>
      <c r="N78" s="219"/>
      <c r="O78" s="219"/>
    </row>
    <row r="79" spans="2:15" x14ac:dyDescent="0.45">
      <c r="B79" s="167"/>
      <c r="C79" s="218"/>
      <c r="D79" s="223"/>
      <c r="E79" s="223"/>
      <c r="G79" s="219"/>
      <c r="H79" s="230"/>
      <c r="I79" s="230"/>
      <c r="J79" s="219"/>
      <c r="K79" s="219"/>
      <c r="L79" s="219"/>
      <c r="M79" s="219"/>
      <c r="N79" s="219"/>
      <c r="O79" s="219"/>
    </row>
    <row r="80" spans="2:15" x14ac:dyDescent="0.45">
      <c r="B80" s="167"/>
      <c r="C80" s="218"/>
      <c r="D80" s="223"/>
      <c r="E80" s="223"/>
      <c r="G80" s="219"/>
      <c r="H80" s="230"/>
      <c r="I80" s="230"/>
      <c r="J80" s="219"/>
      <c r="K80" s="219"/>
      <c r="L80" s="219"/>
      <c r="M80" s="219"/>
      <c r="N80" s="219"/>
      <c r="O80" s="219"/>
    </row>
    <row r="81" spans="2:15" x14ac:dyDescent="0.45">
      <c r="B81" s="167"/>
      <c r="C81" s="218"/>
      <c r="D81" s="223"/>
      <c r="E81" s="223"/>
      <c r="G81" s="219"/>
      <c r="H81" s="230"/>
      <c r="I81" s="230"/>
      <c r="J81" s="219"/>
      <c r="K81" s="219"/>
      <c r="L81" s="219"/>
      <c r="M81" s="219"/>
      <c r="N81" s="219"/>
      <c r="O81" s="219"/>
    </row>
    <row r="82" spans="2:15" x14ac:dyDescent="0.45">
      <c r="B82" s="167"/>
      <c r="C82" s="218"/>
      <c r="D82" s="223"/>
      <c r="E82" s="223"/>
      <c r="G82" s="219"/>
      <c r="H82" s="230"/>
      <c r="I82" s="230"/>
      <c r="J82" s="219"/>
      <c r="K82" s="219"/>
      <c r="L82" s="219"/>
      <c r="M82" s="219"/>
      <c r="N82" s="219"/>
      <c r="O82" s="219"/>
    </row>
    <row r="83" spans="2:15" x14ac:dyDescent="0.45">
      <c r="B83" s="167"/>
      <c r="C83" s="218"/>
      <c r="D83" s="223"/>
      <c r="E83" s="223"/>
      <c r="G83" s="219"/>
      <c r="H83" s="230"/>
      <c r="I83" s="230"/>
      <c r="J83" s="219"/>
      <c r="K83" s="219"/>
      <c r="L83" s="219"/>
      <c r="M83" s="219"/>
      <c r="N83" s="219"/>
      <c r="O83" s="219"/>
    </row>
    <row r="84" spans="2:15" x14ac:dyDescent="0.45">
      <c r="B84" s="167"/>
      <c r="C84" s="218"/>
      <c r="D84" s="223"/>
      <c r="E84" s="223"/>
      <c r="G84" s="219"/>
      <c r="H84" s="230"/>
      <c r="I84" s="230"/>
      <c r="J84" s="219"/>
      <c r="K84" s="219"/>
      <c r="L84" s="219"/>
      <c r="M84" s="219"/>
      <c r="N84" s="219"/>
      <c r="O84" s="219"/>
    </row>
    <row r="85" spans="2:15" x14ac:dyDescent="0.45">
      <c r="B85" s="167"/>
      <c r="C85" s="218"/>
      <c r="D85" s="223"/>
      <c r="E85" s="223"/>
      <c r="G85" s="219"/>
      <c r="H85" s="230"/>
      <c r="I85" s="230"/>
      <c r="J85" s="219"/>
      <c r="K85" s="219"/>
      <c r="L85" s="219"/>
      <c r="M85" s="219"/>
      <c r="N85" s="219"/>
      <c r="O85" s="219"/>
    </row>
    <row r="86" spans="2:15" x14ac:dyDescent="0.45">
      <c r="B86" s="167"/>
      <c r="C86" s="218"/>
      <c r="D86" s="223"/>
      <c r="E86" s="223"/>
      <c r="G86" s="219"/>
      <c r="H86" s="230"/>
      <c r="I86" s="230"/>
      <c r="J86" s="219"/>
      <c r="K86" s="219"/>
      <c r="L86" s="219"/>
      <c r="M86" s="219"/>
      <c r="N86" s="219"/>
      <c r="O86" s="219"/>
    </row>
    <row r="87" spans="2:15" x14ac:dyDescent="0.45">
      <c r="B87" s="167"/>
      <c r="C87" s="218"/>
      <c r="D87" s="223"/>
      <c r="E87" s="223"/>
      <c r="G87" s="219"/>
      <c r="H87" s="230"/>
      <c r="I87" s="230"/>
      <c r="J87" s="219"/>
      <c r="K87" s="219"/>
      <c r="L87" s="219"/>
      <c r="M87" s="219"/>
      <c r="N87" s="219"/>
      <c r="O87" s="219"/>
    </row>
    <row r="88" spans="2:15" x14ac:dyDescent="0.45">
      <c r="B88" s="167"/>
      <c r="C88" s="218"/>
      <c r="D88" s="223"/>
      <c r="E88" s="223"/>
      <c r="G88" s="219"/>
      <c r="H88" s="230"/>
      <c r="I88" s="230"/>
      <c r="J88" s="219"/>
      <c r="K88" s="219"/>
      <c r="L88" s="219"/>
      <c r="M88" s="219"/>
      <c r="N88" s="219"/>
      <c r="O88" s="219"/>
    </row>
    <row r="89" spans="2:15" x14ac:dyDescent="0.45">
      <c r="B89" s="167"/>
      <c r="C89" s="218"/>
      <c r="D89" s="223"/>
      <c r="E89" s="223"/>
      <c r="G89" s="219"/>
      <c r="H89" s="230"/>
      <c r="I89" s="230"/>
      <c r="J89" s="219"/>
      <c r="K89" s="219"/>
      <c r="L89" s="219"/>
      <c r="M89" s="219"/>
      <c r="N89" s="219"/>
      <c r="O89" s="219"/>
    </row>
    <row r="90" spans="2:15" x14ac:dyDescent="0.45">
      <c r="B90" s="167"/>
      <c r="C90" s="218"/>
      <c r="D90" s="223"/>
      <c r="E90" s="223"/>
      <c r="G90" s="219"/>
      <c r="H90" s="230"/>
      <c r="I90" s="230"/>
      <c r="J90" s="219"/>
      <c r="K90" s="219"/>
      <c r="L90" s="219"/>
      <c r="M90" s="219"/>
      <c r="N90" s="219"/>
      <c r="O90" s="219"/>
    </row>
    <row r="91" spans="2:15" x14ac:dyDescent="0.45">
      <c r="B91" s="167"/>
      <c r="C91" s="218"/>
      <c r="D91" s="223"/>
      <c r="E91" s="223"/>
      <c r="G91" s="219"/>
      <c r="H91" s="230"/>
      <c r="I91" s="230"/>
      <c r="J91" s="219"/>
      <c r="K91" s="219"/>
      <c r="L91" s="219"/>
      <c r="M91" s="219"/>
      <c r="N91" s="219"/>
      <c r="O91" s="219"/>
    </row>
    <row r="92" spans="2:15" x14ac:dyDescent="0.45">
      <c r="B92" s="167"/>
      <c r="C92" s="218"/>
      <c r="D92" s="223"/>
      <c r="E92" s="223"/>
      <c r="G92" s="219"/>
      <c r="H92" s="230"/>
      <c r="I92" s="230"/>
      <c r="J92" s="219"/>
      <c r="K92" s="219"/>
      <c r="L92" s="219"/>
      <c r="M92" s="219"/>
      <c r="N92" s="219"/>
      <c r="O92" s="219"/>
    </row>
    <row r="93" spans="2:15" x14ac:dyDescent="0.45">
      <c r="B93" s="167"/>
      <c r="C93" s="218"/>
      <c r="D93" s="223"/>
      <c r="E93" s="223"/>
      <c r="G93" s="219"/>
      <c r="H93" s="230"/>
      <c r="I93" s="230"/>
      <c r="J93" s="219"/>
      <c r="K93" s="219"/>
      <c r="L93" s="219"/>
      <c r="M93" s="219"/>
      <c r="N93" s="219"/>
      <c r="O93" s="219"/>
    </row>
    <row r="94" spans="2:15" x14ac:dyDescent="0.45">
      <c r="B94" s="167"/>
      <c r="C94" s="218"/>
      <c r="D94" s="223"/>
      <c r="E94" s="223"/>
      <c r="G94" s="219"/>
      <c r="H94" s="230"/>
      <c r="I94" s="230"/>
      <c r="J94" s="219"/>
      <c r="K94" s="219"/>
      <c r="L94" s="219"/>
      <c r="M94" s="219"/>
      <c r="N94" s="219"/>
      <c r="O94" s="219"/>
    </row>
    <row r="95" spans="2:15" x14ac:dyDescent="0.45">
      <c r="B95" s="167"/>
      <c r="C95" s="218"/>
      <c r="D95" s="223"/>
      <c r="E95" s="223"/>
      <c r="G95" s="219"/>
      <c r="H95" s="230"/>
      <c r="I95" s="230"/>
      <c r="J95" s="219"/>
      <c r="K95" s="219"/>
      <c r="L95" s="219"/>
      <c r="M95" s="219"/>
      <c r="N95" s="219"/>
      <c r="O95" s="219"/>
    </row>
    <row r="96" spans="2:15" x14ac:dyDescent="0.45">
      <c r="B96" s="167"/>
      <c r="C96" s="218"/>
      <c r="D96" s="223"/>
      <c r="E96" s="223"/>
      <c r="G96" s="219"/>
      <c r="H96" s="230"/>
      <c r="I96" s="230"/>
      <c r="J96" s="219"/>
      <c r="K96" s="219"/>
      <c r="L96" s="219"/>
      <c r="M96" s="219"/>
      <c r="N96" s="219"/>
      <c r="O96" s="219"/>
    </row>
    <row r="97" spans="2:15" x14ac:dyDescent="0.45">
      <c r="B97" s="167"/>
      <c r="C97" s="218"/>
      <c r="D97" s="223"/>
      <c r="E97" s="223"/>
      <c r="G97" s="219"/>
      <c r="H97" s="230"/>
      <c r="I97" s="230"/>
      <c r="J97" s="219"/>
      <c r="K97" s="219"/>
      <c r="L97" s="219"/>
      <c r="M97" s="219"/>
      <c r="N97" s="219"/>
      <c r="O97" s="219"/>
    </row>
    <row r="98" spans="2:15" x14ac:dyDescent="0.45">
      <c r="B98" s="167"/>
      <c r="C98" s="218"/>
      <c r="D98" s="223"/>
      <c r="E98" s="223"/>
      <c r="G98" s="219"/>
      <c r="H98" s="230"/>
      <c r="I98" s="230"/>
      <c r="J98" s="219"/>
      <c r="K98" s="219"/>
      <c r="L98" s="219"/>
      <c r="M98" s="219"/>
      <c r="N98" s="219"/>
      <c r="O98" s="219"/>
    </row>
    <row r="99" spans="2:15" x14ac:dyDescent="0.45">
      <c r="B99" s="167"/>
      <c r="C99" s="218"/>
      <c r="D99" s="223"/>
      <c r="E99" s="223"/>
      <c r="G99" s="219"/>
      <c r="H99" s="230"/>
      <c r="I99" s="230"/>
      <c r="J99" s="219"/>
      <c r="K99" s="219"/>
      <c r="L99" s="219"/>
      <c r="M99" s="219"/>
      <c r="N99" s="219"/>
      <c r="O99" s="219"/>
    </row>
    <row r="100" spans="2:15" x14ac:dyDescent="0.45">
      <c r="B100" s="167"/>
      <c r="C100" s="218"/>
      <c r="D100" s="223"/>
      <c r="E100" s="223"/>
      <c r="G100" s="219"/>
      <c r="H100" s="230"/>
      <c r="I100" s="230"/>
      <c r="J100" s="219"/>
      <c r="K100" s="219"/>
      <c r="L100" s="219"/>
      <c r="M100" s="219"/>
      <c r="N100" s="219"/>
      <c r="O100" s="219"/>
    </row>
    <row r="101" spans="2:15" x14ac:dyDescent="0.45">
      <c r="B101" s="167"/>
      <c r="C101" s="218"/>
      <c r="D101" s="223"/>
      <c r="E101" s="223"/>
      <c r="G101" s="219"/>
      <c r="H101" s="230"/>
      <c r="I101" s="230"/>
      <c r="J101" s="219"/>
      <c r="K101" s="219"/>
      <c r="L101" s="219"/>
      <c r="M101" s="219"/>
      <c r="N101" s="219"/>
      <c r="O101" s="219"/>
    </row>
    <row r="102" spans="2:15" x14ac:dyDescent="0.45">
      <c r="B102" s="167"/>
      <c r="C102" s="218"/>
      <c r="D102" s="223"/>
      <c r="E102" s="223"/>
      <c r="G102" s="219"/>
      <c r="H102" s="230"/>
      <c r="I102" s="230"/>
      <c r="J102" s="219"/>
      <c r="K102" s="219"/>
      <c r="L102" s="219"/>
      <c r="M102" s="219"/>
      <c r="N102" s="219"/>
      <c r="O102" s="219"/>
    </row>
    <row r="103" spans="2:15" x14ac:dyDescent="0.45">
      <c r="B103" s="167"/>
      <c r="C103" s="218"/>
      <c r="D103" s="223"/>
      <c r="E103" s="223"/>
      <c r="G103" s="219"/>
      <c r="H103" s="230"/>
      <c r="I103" s="230"/>
      <c r="J103" s="219"/>
      <c r="K103" s="219"/>
      <c r="L103" s="219"/>
      <c r="M103" s="219"/>
      <c r="N103" s="219"/>
      <c r="O103" s="219"/>
    </row>
    <row r="104" spans="2:15" x14ac:dyDescent="0.45">
      <c r="B104" s="167"/>
      <c r="C104" s="218"/>
      <c r="D104" s="223"/>
      <c r="E104" s="223"/>
      <c r="G104" s="219"/>
      <c r="H104" s="230"/>
      <c r="I104" s="230"/>
      <c r="J104" s="219"/>
      <c r="K104" s="219"/>
      <c r="L104" s="219"/>
      <c r="M104" s="219"/>
      <c r="N104" s="219"/>
      <c r="O104" s="219"/>
    </row>
    <row r="105" spans="2:15" x14ac:dyDescent="0.45">
      <c r="B105" s="167"/>
      <c r="C105" s="218"/>
      <c r="D105" s="223"/>
      <c r="E105" s="223"/>
      <c r="G105" s="219"/>
      <c r="H105" s="230"/>
      <c r="I105" s="230"/>
      <c r="J105" s="219"/>
      <c r="K105" s="219"/>
      <c r="L105" s="219"/>
      <c r="M105" s="219"/>
      <c r="N105" s="219"/>
      <c r="O105" s="219"/>
    </row>
    <row r="106" spans="2:15" x14ac:dyDescent="0.45">
      <c r="B106" s="167"/>
      <c r="C106" s="218"/>
      <c r="D106" s="223"/>
      <c r="E106" s="223"/>
      <c r="G106" s="219"/>
      <c r="H106" s="230"/>
      <c r="I106" s="230"/>
      <c r="J106" s="219"/>
      <c r="K106" s="219"/>
      <c r="L106" s="219"/>
      <c r="M106" s="219"/>
      <c r="N106" s="219"/>
      <c r="O106" s="219"/>
    </row>
    <row r="107" spans="2:15" x14ac:dyDescent="0.45">
      <c r="B107" s="167"/>
      <c r="C107" s="218"/>
      <c r="D107" s="223"/>
      <c r="E107" s="223"/>
      <c r="G107" s="219"/>
      <c r="H107" s="230"/>
      <c r="I107" s="230"/>
      <c r="J107" s="219"/>
      <c r="K107" s="219"/>
      <c r="L107" s="219"/>
      <c r="M107" s="219"/>
      <c r="N107" s="219"/>
      <c r="O107" s="219"/>
    </row>
    <row r="108" spans="2:15" x14ac:dyDescent="0.45">
      <c r="B108" s="167"/>
      <c r="C108" s="218"/>
      <c r="D108" s="223"/>
      <c r="E108" s="223"/>
      <c r="G108" s="219"/>
      <c r="H108" s="230"/>
      <c r="I108" s="230"/>
      <c r="J108" s="219"/>
      <c r="K108" s="219"/>
      <c r="L108" s="219"/>
      <c r="M108" s="219"/>
      <c r="N108" s="219"/>
      <c r="O108" s="219"/>
    </row>
    <row r="109" spans="2:15" x14ac:dyDescent="0.45">
      <c r="B109" s="167"/>
      <c r="C109" s="218"/>
      <c r="D109" s="223"/>
      <c r="E109" s="223"/>
      <c r="G109" s="219"/>
      <c r="H109" s="230"/>
      <c r="I109" s="230"/>
      <c r="J109" s="219"/>
      <c r="K109" s="219"/>
      <c r="L109" s="219"/>
      <c r="M109" s="219"/>
      <c r="N109" s="219"/>
      <c r="O109" s="219"/>
    </row>
    <row r="110" spans="2:15" x14ac:dyDescent="0.45">
      <c r="B110" s="167"/>
      <c r="C110" s="218"/>
      <c r="D110" s="223"/>
      <c r="E110" s="223"/>
      <c r="G110" s="219"/>
      <c r="H110" s="230"/>
      <c r="I110" s="230"/>
      <c r="J110" s="219"/>
      <c r="K110" s="219"/>
      <c r="L110" s="219"/>
      <c r="M110" s="219"/>
      <c r="N110" s="219"/>
      <c r="O110" s="219"/>
    </row>
    <row r="111" spans="2:15" x14ac:dyDescent="0.45">
      <c r="B111" s="167"/>
      <c r="C111" s="218"/>
      <c r="D111" s="223"/>
      <c r="E111" s="223"/>
      <c r="G111" s="219"/>
      <c r="H111" s="230"/>
      <c r="I111" s="230"/>
      <c r="J111" s="219"/>
      <c r="K111" s="219"/>
      <c r="L111" s="219"/>
      <c r="M111" s="219"/>
      <c r="N111" s="219"/>
      <c r="O111" s="219"/>
    </row>
    <row r="112" spans="2:15" x14ac:dyDescent="0.45">
      <c r="B112" s="167"/>
      <c r="C112" s="218"/>
      <c r="D112" s="223"/>
      <c r="E112" s="223"/>
      <c r="G112" s="219"/>
      <c r="H112" s="230"/>
      <c r="I112" s="230"/>
      <c r="J112" s="219"/>
      <c r="K112" s="219"/>
      <c r="L112" s="219"/>
      <c r="M112" s="219"/>
      <c r="N112" s="219"/>
      <c r="O112" s="219"/>
    </row>
    <row r="113" spans="2:15" x14ac:dyDescent="0.45">
      <c r="B113" s="167"/>
      <c r="C113" s="218"/>
      <c r="D113" s="223"/>
      <c r="E113" s="223"/>
      <c r="G113" s="219"/>
      <c r="H113" s="230"/>
      <c r="I113" s="230"/>
      <c r="J113" s="219"/>
      <c r="K113" s="219"/>
      <c r="L113" s="219"/>
      <c r="M113" s="219"/>
      <c r="N113" s="219"/>
      <c r="O113" s="219"/>
    </row>
    <row r="114" spans="2:15" x14ac:dyDescent="0.45">
      <c r="B114" s="167"/>
      <c r="C114" s="218"/>
      <c r="D114" s="223"/>
      <c r="E114" s="223"/>
      <c r="G114" s="219"/>
      <c r="H114" s="230"/>
      <c r="I114" s="230"/>
      <c r="J114" s="219"/>
      <c r="K114" s="219"/>
      <c r="L114" s="219"/>
      <c r="M114" s="219"/>
      <c r="N114" s="219"/>
      <c r="O114" s="219"/>
    </row>
    <row r="115" spans="2:15" x14ac:dyDescent="0.45">
      <c r="B115" s="167"/>
      <c r="C115" s="218"/>
      <c r="D115" s="223"/>
      <c r="E115" s="223"/>
      <c r="G115" s="219"/>
      <c r="H115" s="230"/>
      <c r="I115" s="230"/>
      <c r="J115" s="219"/>
      <c r="K115" s="219"/>
      <c r="L115" s="219"/>
      <c r="M115" s="219"/>
      <c r="N115" s="219"/>
      <c r="O115" s="219"/>
    </row>
    <row r="116" spans="2:15" x14ac:dyDescent="0.45">
      <c r="B116" s="167"/>
      <c r="C116" s="218"/>
      <c r="D116" s="223"/>
      <c r="E116" s="223"/>
      <c r="G116" s="219"/>
      <c r="H116" s="230"/>
      <c r="I116" s="230"/>
      <c r="J116" s="219"/>
      <c r="K116" s="219"/>
      <c r="L116" s="219"/>
      <c r="M116" s="219"/>
      <c r="N116" s="219"/>
      <c r="O116" s="219"/>
    </row>
    <row r="117" spans="2:15" x14ac:dyDescent="0.45">
      <c r="B117" s="167"/>
      <c r="C117" s="218"/>
      <c r="D117" s="223"/>
      <c r="E117" s="223"/>
      <c r="G117" s="219"/>
      <c r="H117" s="230"/>
      <c r="I117" s="230"/>
      <c r="J117" s="219"/>
      <c r="K117" s="219"/>
      <c r="L117" s="219"/>
      <c r="M117" s="219"/>
      <c r="N117" s="219"/>
      <c r="O117" s="219"/>
    </row>
    <row r="118" spans="2:15" x14ac:dyDescent="0.45">
      <c r="B118" s="167"/>
      <c r="C118" s="218"/>
      <c r="D118" s="223"/>
      <c r="E118" s="223"/>
      <c r="G118" s="219"/>
      <c r="H118" s="230"/>
      <c r="I118" s="230"/>
      <c r="J118" s="219"/>
      <c r="K118" s="219"/>
      <c r="L118" s="219"/>
      <c r="M118" s="219"/>
      <c r="N118" s="219"/>
      <c r="O118" s="219"/>
    </row>
    <row r="119" spans="2:15" x14ac:dyDescent="0.45">
      <c r="B119" s="167"/>
      <c r="C119" s="218"/>
      <c r="D119" s="223"/>
      <c r="E119" s="223"/>
      <c r="G119" s="219"/>
      <c r="H119" s="230"/>
      <c r="I119" s="230"/>
      <c r="J119" s="219"/>
      <c r="K119" s="219"/>
      <c r="L119" s="219"/>
      <c r="M119" s="219"/>
      <c r="N119" s="219"/>
      <c r="O119" s="219"/>
    </row>
    <row r="120" spans="2:15" x14ac:dyDescent="0.45">
      <c r="B120" s="167"/>
      <c r="C120" s="218"/>
      <c r="D120" s="223"/>
      <c r="E120" s="223"/>
      <c r="G120" s="219"/>
      <c r="H120" s="230"/>
      <c r="I120" s="230"/>
      <c r="J120" s="219"/>
      <c r="K120" s="219"/>
      <c r="L120" s="219"/>
      <c r="M120" s="219"/>
      <c r="N120" s="219"/>
      <c r="O120" s="219"/>
    </row>
    <row r="121" spans="2:15" x14ac:dyDescent="0.45">
      <c r="B121" s="167"/>
      <c r="C121" s="218"/>
      <c r="D121" s="223"/>
      <c r="E121" s="223"/>
      <c r="G121" s="219"/>
      <c r="H121" s="230"/>
      <c r="I121" s="230"/>
      <c r="J121" s="219"/>
      <c r="K121" s="219"/>
      <c r="L121" s="219"/>
      <c r="M121" s="219"/>
      <c r="N121" s="219"/>
      <c r="O121" s="219"/>
    </row>
    <row r="122" spans="2:15" x14ac:dyDescent="0.45">
      <c r="B122" s="167"/>
      <c r="C122" s="218"/>
      <c r="D122" s="223"/>
      <c r="E122" s="223"/>
      <c r="G122" s="219"/>
      <c r="H122" s="230"/>
      <c r="I122" s="230"/>
      <c r="J122" s="219"/>
      <c r="K122" s="219"/>
      <c r="L122" s="219"/>
      <c r="M122" s="219"/>
      <c r="N122" s="219"/>
      <c r="O122" s="219"/>
    </row>
    <row r="123" spans="2:15" x14ac:dyDescent="0.45">
      <c r="B123" s="167"/>
      <c r="C123" s="218"/>
      <c r="D123" s="223"/>
      <c r="E123" s="223"/>
      <c r="G123" s="219"/>
      <c r="H123" s="230"/>
      <c r="I123" s="230"/>
      <c r="J123" s="219"/>
      <c r="K123" s="219"/>
      <c r="L123" s="219"/>
      <c r="M123" s="219"/>
      <c r="N123" s="219"/>
      <c r="O123" s="219"/>
    </row>
    <row r="124" spans="2:15" x14ac:dyDescent="0.45">
      <c r="B124" s="167"/>
      <c r="C124" s="218"/>
      <c r="D124" s="223"/>
      <c r="E124" s="223"/>
      <c r="G124" s="219"/>
      <c r="H124" s="230"/>
      <c r="I124" s="230"/>
      <c r="J124" s="219"/>
      <c r="K124" s="219"/>
      <c r="L124" s="219"/>
      <c r="M124" s="219"/>
      <c r="N124" s="219"/>
      <c r="O124" s="219"/>
    </row>
    <row r="125" spans="2:15" x14ac:dyDescent="0.45">
      <c r="B125" s="167"/>
      <c r="C125" s="218"/>
      <c r="D125" s="223"/>
      <c r="E125" s="223"/>
      <c r="G125" s="219"/>
      <c r="H125" s="230"/>
      <c r="I125" s="230"/>
      <c r="J125" s="219"/>
      <c r="K125" s="219"/>
      <c r="L125" s="219"/>
      <c r="M125" s="219"/>
      <c r="N125" s="219"/>
      <c r="O125" s="219"/>
    </row>
    <row r="126" spans="2:15" x14ac:dyDescent="0.45">
      <c r="B126" s="167"/>
      <c r="C126" s="218"/>
      <c r="D126" s="223"/>
      <c r="E126" s="223"/>
      <c r="G126" s="219"/>
      <c r="H126" s="230"/>
      <c r="I126" s="230"/>
      <c r="J126" s="219"/>
      <c r="K126" s="219"/>
      <c r="L126" s="219"/>
      <c r="M126" s="219"/>
      <c r="N126" s="219"/>
      <c r="O126" s="219"/>
    </row>
    <row r="127" spans="2:15" x14ac:dyDescent="0.45">
      <c r="B127" s="167"/>
      <c r="C127" s="218"/>
      <c r="D127" s="223"/>
      <c r="E127" s="223"/>
      <c r="G127" s="219"/>
      <c r="H127" s="230"/>
      <c r="I127" s="230"/>
      <c r="J127" s="219"/>
      <c r="K127" s="219"/>
      <c r="L127" s="219"/>
      <c r="M127" s="219"/>
      <c r="N127" s="219"/>
      <c r="O127" s="219"/>
    </row>
    <row r="128" spans="2:15" x14ac:dyDescent="0.45">
      <c r="B128" s="167"/>
      <c r="C128" s="218"/>
      <c r="D128" s="223"/>
      <c r="E128" s="223"/>
      <c r="G128" s="219"/>
      <c r="H128" s="230"/>
      <c r="I128" s="230"/>
      <c r="J128" s="219"/>
      <c r="K128" s="219"/>
      <c r="L128" s="219"/>
      <c r="M128" s="219"/>
      <c r="N128" s="219"/>
      <c r="O128" s="219"/>
    </row>
    <row r="129" spans="2:15" x14ac:dyDescent="0.45">
      <c r="B129" s="167"/>
      <c r="C129" s="218"/>
      <c r="D129" s="223"/>
      <c r="E129" s="223"/>
      <c r="G129" s="219"/>
      <c r="H129" s="230"/>
      <c r="I129" s="230"/>
      <c r="J129" s="219"/>
      <c r="K129" s="219"/>
      <c r="L129" s="219"/>
      <c r="M129" s="219"/>
      <c r="N129" s="219"/>
      <c r="O129" s="219"/>
    </row>
    <row r="130" spans="2:15" x14ac:dyDescent="0.45">
      <c r="B130" s="167"/>
      <c r="C130" s="218"/>
      <c r="D130" s="223"/>
      <c r="E130" s="223"/>
      <c r="G130" s="219"/>
      <c r="H130" s="230"/>
      <c r="I130" s="230"/>
      <c r="J130" s="219"/>
      <c r="K130" s="219"/>
      <c r="L130" s="219"/>
      <c r="M130" s="219"/>
      <c r="N130" s="219"/>
      <c r="O130" s="219"/>
    </row>
    <row r="131" spans="2:15" x14ac:dyDescent="0.45">
      <c r="B131" s="167"/>
      <c r="C131" s="218"/>
      <c r="D131" s="223"/>
      <c r="E131" s="223"/>
      <c r="G131" s="219"/>
      <c r="H131" s="230"/>
      <c r="I131" s="230"/>
      <c r="J131" s="219"/>
      <c r="K131" s="219"/>
      <c r="L131" s="219"/>
      <c r="M131" s="219"/>
      <c r="N131" s="219"/>
      <c r="O131" s="219"/>
    </row>
    <row r="132" spans="2:15" x14ac:dyDescent="0.45">
      <c r="B132" s="167"/>
      <c r="C132" s="218"/>
      <c r="D132" s="223"/>
      <c r="E132" s="223"/>
      <c r="G132" s="219"/>
      <c r="H132" s="230"/>
      <c r="I132" s="230"/>
      <c r="J132" s="219"/>
      <c r="K132" s="219"/>
      <c r="L132" s="219"/>
      <c r="M132" s="219"/>
      <c r="N132" s="219"/>
      <c r="O132" s="219"/>
    </row>
    <row r="133" spans="2:15" x14ac:dyDescent="0.45">
      <c r="B133" s="167"/>
      <c r="C133" s="218"/>
      <c r="D133" s="223"/>
      <c r="E133" s="223"/>
      <c r="G133" s="219"/>
      <c r="H133" s="230"/>
      <c r="I133" s="230"/>
      <c r="J133" s="219"/>
      <c r="K133" s="219"/>
      <c r="L133" s="219"/>
      <c r="M133" s="219"/>
      <c r="N133" s="219"/>
      <c r="O133" s="219"/>
    </row>
    <row r="134" spans="2:15" x14ac:dyDescent="0.45">
      <c r="B134" s="167"/>
      <c r="C134" s="218"/>
      <c r="D134" s="223"/>
      <c r="E134" s="223"/>
      <c r="G134" s="219"/>
      <c r="H134" s="230"/>
      <c r="I134" s="230"/>
      <c r="J134" s="219"/>
      <c r="K134" s="219"/>
      <c r="L134" s="219"/>
      <c r="M134" s="219"/>
      <c r="N134" s="219"/>
      <c r="O134" s="219"/>
    </row>
    <row r="135" spans="2:15" x14ac:dyDescent="0.45">
      <c r="B135" s="167"/>
      <c r="C135" s="218"/>
      <c r="D135" s="223"/>
      <c r="E135" s="223"/>
      <c r="G135" s="219"/>
      <c r="H135" s="230"/>
      <c r="I135" s="230"/>
      <c r="J135" s="219"/>
      <c r="K135" s="219"/>
      <c r="L135" s="219"/>
      <c r="M135" s="219"/>
      <c r="N135" s="219"/>
      <c r="O135" s="219"/>
    </row>
    <row r="136" spans="2:15" x14ac:dyDescent="0.45">
      <c r="B136" s="167"/>
      <c r="C136" s="218"/>
      <c r="D136" s="223"/>
      <c r="E136" s="223"/>
      <c r="G136" s="219"/>
      <c r="H136" s="230"/>
      <c r="I136" s="230"/>
      <c r="J136" s="219"/>
      <c r="K136" s="219"/>
      <c r="L136" s="219"/>
      <c r="M136" s="219"/>
      <c r="N136" s="219"/>
      <c r="O136" s="219"/>
    </row>
    <row r="137" spans="2:15" x14ac:dyDescent="0.45">
      <c r="B137" s="167"/>
      <c r="C137" s="218"/>
      <c r="D137" s="223"/>
      <c r="E137" s="223"/>
      <c r="G137" s="219"/>
      <c r="H137" s="230"/>
      <c r="I137" s="230"/>
      <c r="J137" s="219"/>
      <c r="K137" s="219"/>
      <c r="L137" s="219"/>
      <c r="M137" s="219"/>
      <c r="N137" s="219"/>
      <c r="O137" s="219"/>
    </row>
    <row r="138" spans="2:15" x14ac:dyDescent="0.45">
      <c r="B138" s="167"/>
      <c r="C138" s="218"/>
      <c r="D138" s="223"/>
      <c r="E138" s="223"/>
      <c r="G138" s="219"/>
      <c r="H138" s="230"/>
      <c r="I138" s="230"/>
      <c r="J138" s="219"/>
      <c r="K138" s="219"/>
      <c r="L138" s="219"/>
      <c r="M138" s="219"/>
      <c r="N138" s="219"/>
      <c r="O138" s="219"/>
    </row>
    <row r="139" spans="2:15" x14ac:dyDescent="0.45">
      <c r="B139" s="167"/>
      <c r="C139" s="218"/>
      <c r="D139" s="223"/>
      <c r="E139" s="223"/>
      <c r="G139" s="219"/>
      <c r="H139" s="230"/>
      <c r="I139" s="230"/>
      <c r="J139" s="219"/>
      <c r="K139" s="219"/>
      <c r="L139" s="219"/>
      <c r="M139" s="219"/>
      <c r="N139" s="219"/>
      <c r="O139" s="219"/>
    </row>
    <row r="140" spans="2:15" x14ac:dyDescent="0.45">
      <c r="B140" s="167"/>
      <c r="C140" s="218"/>
      <c r="D140" s="223"/>
      <c r="E140" s="223"/>
      <c r="G140" s="219"/>
      <c r="H140" s="230"/>
      <c r="I140" s="230"/>
      <c r="J140" s="219"/>
      <c r="K140" s="219"/>
      <c r="L140" s="219"/>
      <c r="M140" s="219"/>
      <c r="N140" s="219"/>
      <c r="O140" s="219"/>
    </row>
    <row r="141" spans="2:15" x14ac:dyDescent="0.45">
      <c r="B141" s="167"/>
      <c r="C141" s="218"/>
      <c r="D141" s="223"/>
      <c r="E141" s="223"/>
      <c r="G141" s="219"/>
      <c r="H141" s="230"/>
      <c r="I141" s="230"/>
      <c r="J141" s="219"/>
      <c r="K141" s="219"/>
      <c r="L141" s="219"/>
      <c r="M141" s="219"/>
      <c r="N141" s="219"/>
      <c r="O141" s="219"/>
    </row>
    <row r="142" spans="2:15" x14ac:dyDescent="0.45">
      <c r="B142" s="167"/>
      <c r="C142" s="218"/>
      <c r="D142" s="223"/>
      <c r="E142" s="223"/>
      <c r="G142" s="219"/>
      <c r="H142" s="230"/>
      <c r="I142" s="230"/>
      <c r="J142" s="219"/>
      <c r="K142" s="219"/>
      <c r="L142" s="219"/>
      <c r="M142" s="219"/>
      <c r="N142" s="219"/>
      <c r="O142" s="219"/>
    </row>
    <row r="143" spans="2:15" x14ac:dyDescent="0.45">
      <c r="B143" s="167"/>
      <c r="C143" s="218"/>
      <c r="D143" s="223"/>
      <c r="E143" s="223"/>
      <c r="G143" s="219"/>
      <c r="H143" s="230"/>
      <c r="I143" s="230"/>
      <c r="J143" s="219"/>
      <c r="K143" s="219"/>
      <c r="L143" s="219"/>
      <c r="M143" s="219"/>
      <c r="N143" s="219"/>
      <c r="O143" s="219"/>
    </row>
    <row r="144" spans="2:15" x14ac:dyDescent="0.45">
      <c r="B144" s="167"/>
      <c r="C144" s="218"/>
      <c r="D144" s="223"/>
      <c r="E144" s="223"/>
      <c r="G144" s="219"/>
      <c r="H144" s="230"/>
      <c r="I144" s="230"/>
      <c r="J144" s="219"/>
      <c r="K144" s="219"/>
      <c r="L144" s="219"/>
      <c r="M144" s="219"/>
      <c r="N144" s="219"/>
      <c r="O144" s="219"/>
    </row>
    <row r="145" spans="2:15" x14ac:dyDescent="0.45">
      <c r="B145" s="167"/>
      <c r="C145" s="218"/>
      <c r="D145" s="223"/>
      <c r="E145" s="223"/>
      <c r="G145" s="219"/>
      <c r="H145" s="230"/>
      <c r="I145" s="230"/>
      <c r="J145" s="219"/>
      <c r="K145" s="219"/>
      <c r="L145" s="219"/>
      <c r="M145" s="219"/>
      <c r="N145" s="219"/>
      <c r="O145" s="219"/>
    </row>
    <row r="146" spans="2:15" x14ac:dyDescent="0.45">
      <c r="B146" s="167"/>
      <c r="C146" s="218"/>
      <c r="D146" s="223"/>
      <c r="E146" s="223"/>
      <c r="G146" s="219"/>
      <c r="H146" s="230"/>
      <c r="I146" s="230"/>
      <c r="J146" s="219"/>
      <c r="K146" s="219"/>
      <c r="L146" s="219"/>
      <c r="M146" s="219"/>
      <c r="N146" s="219"/>
      <c r="O146" s="219"/>
    </row>
    <row r="147" spans="2:15" x14ac:dyDescent="0.45">
      <c r="B147" s="167"/>
      <c r="C147" s="218"/>
      <c r="D147" s="223"/>
      <c r="E147" s="223"/>
      <c r="G147" s="219"/>
      <c r="H147" s="230"/>
      <c r="I147" s="230"/>
      <c r="J147" s="219"/>
      <c r="K147" s="219"/>
      <c r="L147" s="219"/>
      <c r="M147" s="219"/>
      <c r="N147" s="219"/>
      <c r="O147" s="219"/>
    </row>
    <row r="148" spans="2:15" x14ac:dyDescent="0.45">
      <c r="B148" s="167"/>
      <c r="C148" s="218"/>
      <c r="D148" s="223"/>
      <c r="E148" s="223"/>
      <c r="G148" s="219"/>
      <c r="H148" s="230"/>
      <c r="I148" s="230"/>
      <c r="J148" s="219"/>
      <c r="K148" s="219"/>
      <c r="L148" s="219"/>
      <c r="M148" s="219"/>
      <c r="N148" s="219"/>
      <c r="O148" s="219"/>
    </row>
    <row r="149" spans="2:15" x14ac:dyDescent="0.45">
      <c r="B149" s="167"/>
      <c r="C149" s="218"/>
      <c r="D149" s="223"/>
      <c r="E149" s="223"/>
      <c r="G149" s="219"/>
      <c r="H149" s="230"/>
      <c r="I149" s="230"/>
      <c r="J149" s="219"/>
      <c r="K149" s="219"/>
      <c r="L149" s="219"/>
      <c r="M149" s="219"/>
      <c r="N149" s="219"/>
      <c r="O149" s="219"/>
    </row>
    <row r="150" spans="2:15" x14ac:dyDescent="0.45">
      <c r="B150" s="167"/>
      <c r="C150" s="218"/>
      <c r="D150" s="223"/>
      <c r="E150" s="223"/>
      <c r="G150" s="219"/>
      <c r="H150" s="230"/>
      <c r="I150" s="230"/>
      <c r="J150" s="219"/>
      <c r="K150" s="219"/>
      <c r="L150" s="219"/>
      <c r="M150" s="219"/>
      <c r="N150" s="219"/>
      <c r="O150" s="219"/>
    </row>
    <row r="151" spans="2:15" x14ac:dyDescent="0.45">
      <c r="B151" s="167"/>
      <c r="C151" s="218"/>
      <c r="D151" s="223"/>
      <c r="E151" s="223"/>
      <c r="G151" s="219"/>
      <c r="H151" s="230"/>
      <c r="I151" s="230"/>
      <c r="J151" s="219"/>
      <c r="K151" s="219"/>
      <c r="L151" s="219"/>
      <c r="M151" s="219"/>
      <c r="N151" s="219"/>
      <c r="O151" s="219"/>
    </row>
    <row r="152" spans="2:15" x14ac:dyDescent="0.45">
      <c r="B152" s="167"/>
      <c r="C152" s="218"/>
      <c r="D152" s="223"/>
      <c r="E152" s="223"/>
      <c r="G152" s="219"/>
      <c r="H152" s="230"/>
      <c r="I152" s="230"/>
      <c r="J152" s="219"/>
      <c r="K152" s="219"/>
      <c r="L152" s="219"/>
      <c r="M152" s="219"/>
      <c r="N152" s="219"/>
      <c r="O152" s="219"/>
    </row>
    <row r="153" spans="2:15" x14ac:dyDescent="0.45">
      <c r="B153" s="167"/>
      <c r="C153" s="218"/>
      <c r="D153" s="223"/>
      <c r="E153" s="223"/>
      <c r="G153" s="219"/>
      <c r="H153" s="230"/>
      <c r="I153" s="230"/>
      <c r="J153" s="219"/>
      <c r="K153" s="219"/>
      <c r="L153" s="219"/>
      <c r="M153" s="219"/>
      <c r="N153" s="219"/>
      <c r="O153" s="219"/>
    </row>
    <row r="154" spans="2:15" x14ac:dyDescent="0.45">
      <c r="B154" s="167"/>
      <c r="C154" s="218"/>
      <c r="D154" s="223"/>
      <c r="E154" s="223"/>
      <c r="G154" s="219"/>
      <c r="H154" s="230"/>
      <c r="I154" s="230"/>
      <c r="J154" s="219"/>
      <c r="K154" s="219"/>
      <c r="L154" s="219"/>
      <c r="M154" s="219"/>
      <c r="N154" s="219"/>
      <c r="O154" s="219"/>
    </row>
    <row r="155" spans="2:15" x14ac:dyDescent="0.45">
      <c r="B155" s="167"/>
      <c r="C155" s="218"/>
      <c r="D155" s="223"/>
      <c r="E155" s="223"/>
      <c r="G155" s="219"/>
      <c r="H155" s="230"/>
      <c r="I155" s="230"/>
      <c r="J155" s="219"/>
      <c r="K155" s="219"/>
      <c r="L155" s="219"/>
      <c r="M155" s="219"/>
      <c r="N155" s="219"/>
      <c r="O155" s="219"/>
    </row>
    <row r="156" spans="2:15" x14ac:dyDescent="0.45">
      <c r="B156" s="167"/>
      <c r="C156" s="218"/>
      <c r="D156" s="223"/>
      <c r="E156" s="223"/>
      <c r="G156" s="219"/>
      <c r="H156" s="230"/>
      <c r="I156" s="230"/>
      <c r="J156" s="219"/>
      <c r="K156" s="219"/>
      <c r="L156" s="219"/>
      <c r="M156" s="219"/>
      <c r="N156" s="219"/>
      <c r="O156" s="219"/>
    </row>
    <row r="157" spans="2:15" x14ac:dyDescent="0.45">
      <c r="B157" s="167"/>
      <c r="C157" s="218"/>
      <c r="D157" s="223"/>
      <c r="E157" s="223"/>
      <c r="G157" s="219"/>
      <c r="H157" s="230"/>
      <c r="I157" s="230"/>
      <c r="J157" s="219"/>
      <c r="K157" s="219"/>
      <c r="L157" s="219"/>
      <c r="M157" s="219"/>
      <c r="N157" s="219"/>
      <c r="O157" s="219"/>
    </row>
    <row r="158" spans="2:15" x14ac:dyDescent="0.45">
      <c r="B158" s="167"/>
      <c r="C158" s="218"/>
      <c r="D158" s="223"/>
      <c r="E158" s="223"/>
      <c r="G158" s="219"/>
      <c r="H158" s="230"/>
      <c r="I158" s="230"/>
      <c r="J158" s="219"/>
      <c r="K158" s="219"/>
      <c r="L158" s="219"/>
      <c r="M158" s="219"/>
      <c r="N158" s="219"/>
      <c r="O158" s="219"/>
    </row>
    <row r="159" spans="2:15" x14ac:dyDescent="0.45">
      <c r="B159" s="167"/>
      <c r="C159" s="218"/>
      <c r="D159" s="223"/>
      <c r="E159" s="223"/>
      <c r="G159" s="219"/>
      <c r="H159" s="230"/>
      <c r="I159" s="230"/>
      <c r="J159" s="219"/>
      <c r="K159" s="219"/>
      <c r="L159" s="219"/>
      <c r="M159" s="219"/>
      <c r="N159" s="219"/>
      <c r="O159" s="219"/>
    </row>
    <row r="160" spans="2:15" x14ac:dyDescent="0.45">
      <c r="B160" s="167"/>
      <c r="C160" s="218"/>
      <c r="D160" s="223"/>
      <c r="E160" s="223"/>
      <c r="G160" s="219"/>
      <c r="H160" s="230"/>
      <c r="I160" s="230"/>
      <c r="J160" s="219"/>
      <c r="K160" s="219"/>
      <c r="L160" s="219"/>
      <c r="M160" s="219"/>
      <c r="N160" s="219"/>
      <c r="O160" s="219"/>
    </row>
    <row r="161" spans="2:15" x14ac:dyDescent="0.45">
      <c r="B161" s="167"/>
      <c r="C161" s="218"/>
      <c r="D161" s="223"/>
      <c r="E161" s="223"/>
      <c r="G161" s="219"/>
      <c r="H161" s="230"/>
      <c r="I161" s="230"/>
      <c r="J161" s="219"/>
      <c r="K161" s="219"/>
      <c r="L161" s="219"/>
      <c r="M161" s="219"/>
      <c r="N161" s="219"/>
      <c r="O161" s="219"/>
    </row>
    <row r="162" spans="2:15" x14ac:dyDescent="0.45">
      <c r="B162" s="167"/>
      <c r="C162" s="218"/>
      <c r="D162" s="223"/>
      <c r="E162" s="223"/>
      <c r="G162" s="219"/>
      <c r="H162" s="230"/>
      <c r="I162" s="230"/>
      <c r="J162" s="219"/>
      <c r="K162" s="219"/>
      <c r="L162" s="219"/>
      <c r="M162" s="219"/>
      <c r="N162" s="219"/>
      <c r="O162" s="219"/>
    </row>
    <row r="163" spans="2:15" x14ac:dyDescent="0.45">
      <c r="B163" s="167"/>
      <c r="C163" s="218"/>
      <c r="D163" s="223"/>
      <c r="E163" s="223"/>
      <c r="G163" s="219"/>
      <c r="H163" s="230"/>
      <c r="I163" s="230"/>
      <c r="J163" s="219"/>
      <c r="K163" s="219"/>
      <c r="L163" s="219"/>
      <c r="M163" s="219"/>
      <c r="N163" s="219"/>
      <c r="O163" s="219"/>
    </row>
    <row r="164" spans="2:15" x14ac:dyDescent="0.45">
      <c r="B164" s="167"/>
      <c r="C164" s="218"/>
      <c r="D164" s="223"/>
      <c r="E164" s="223"/>
      <c r="G164" s="219"/>
      <c r="H164" s="230"/>
      <c r="I164" s="230"/>
      <c r="J164" s="219"/>
      <c r="K164" s="219"/>
      <c r="L164" s="219"/>
      <c r="M164" s="219"/>
      <c r="N164" s="219"/>
      <c r="O164" s="219"/>
    </row>
    <row r="165" spans="2:15" x14ac:dyDescent="0.45">
      <c r="B165" s="167"/>
      <c r="C165" s="218"/>
      <c r="D165" s="223"/>
      <c r="E165" s="223"/>
      <c r="G165" s="219"/>
      <c r="H165" s="230"/>
      <c r="I165" s="230"/>
      <c r="J165" s="219"/>
      <c r="K165" s="219"/>
      <c r="L165" s="219"/>
      <c r="M165" s="219"/>
      <c r="N165" s="219"/>
      <c r="O165" s="219"/>
    </row>
    <row r="166" spans="2:15" x14ac:dyDescent="0.45">
      <c r="B166" s="167"/>
      <c r="C166" s="218"/>
      <c r="D166" s="223"/>
      <c r="E166" s="223"/>
      <c r="G166" s="219"/>
      <c r="H166" s="230"/>
      <c r="I166" s="230"/>
      <c r="J166" s="219"/>
      <c r="K166" s="219"/>
      <c r="L166" s="219"/>
      <c r="M166" s="219"/>
      <c r="N166" s="219"/>
      <c r="O166" s="219"/>
    </row>
    <row r="167" spans="2:15" x14ac:dyDescent="0.45">
      <c r="B167" s="167"/>
      <c r="C167" s="218"/>
      <c r="D167" s="223"/>
      <c r="E167" s="223"/>
      <c r="G167" s="219"/>
      <c r="H167" s="230"/>
      <c r="I167" s="230"/>
      <c r="J167" s="219"/>
      <c r="K167" s="219"/>
      <c r="L167" s="219"/>
      <c r="M167" s="219"/>
      <c r="N167" s="219"/>
      <c r="O167" s="219"/>
    </row>
    <row r="168" spans="2:15" x14ac:dyDescent="0.45">
      <c r="B168" s="167"/>
      <c r="C168" s="218"/>
      <c r="D168" s="223"/>
      <c r="E168" s="223"/>
      <c r="G168" s="219"/>
      <c r="H168" s="230"/>
      <c r="I168" s="230"/>
      <c r="J168" s="219"/>
      <c r="K168" s="219"/>
      <c r="L168" s="219"/>
      <c r="M168" s="219"/>
      <c r="N168" s="219"/>
      <c r="O168" s="219"/>
    </row>
    <row r="169" spans="2:15" x14ac:dyDescent="0.45">
      <c r="B169" s="167"/>
      <c r="C169" s="218"/>
      <c r="D169" s="223"/>
      <c r="E169" s="223"/>
      <c r="G169" s="219"/>
      <c r="H169" s="230"/>
      <c r="I169" s="230"/>
      <c r="J169" s="219"/>
      <c r="K169" s="219"/>
      <c r="L169" s="219"/>
      <c r="M169" s="219"/>
      <c r="N169" s="219"/>
      <c r="O169" s="219"/>
    </row>
    <row r="170" spans="2:15" x14ac:dyDescent="0.45">
      <c r="B170" s="167"/>
      <c r="C170" s="218"/>
      <c r="D170" s="223"/>
      <c r="E170" s="223"/>
      <c r="G170" s="219"/>
      <c r="H170" s="230"/>
      <c r="I170" s="230"/>
      <c r="J170" s="219"/>
      <c r="K170" s="219"/>
      <c r="L170" s="219"/>
      <c r="M170" s="219"/>
      <c r="N170" s="219"/>
      <c r="O170" s="219"/>
    </row>
    <row r="171" spans="2:15" x14ac:dyDescent="0.45">
      <c r="B171" s="167"/>
      <c r="C171" s="218"/>
      <c r="D171" s="223"/>
      <c r="E171" s="223"/>
      <c r="G171" s="219"/>
      <c r="H171" s="230"/>
      <c r="I171" s="230"/>
      <c r="J171" s="219"/>
      <c r="K171" s="219"/>
      <c r="L171" s="219"/>
      <c r="M171" s="219"/>
      <c r="N171" s="219"/>
      <c r="O171" s="219"/>
    </row>
    <row r="172" spans="2:15" x14ac:dyDescent="0.45">
      <c r="B172" s="167"/>
      <c r="C172" s="218"/>
      <c r="D172" s="223"/>
      <c r="E172" s="223"/>
      <c r="G172" s="219"/>
      <c r="H172" s="230"/>
      <c r="I172" s="230"/>
      <c r="J172" s="219"/>
      <c r="K172" s="219"/>
      <c r="L172" s="219"/>
      <c r="M172" s="219"/>
      <c r="N172" s="219"/>
      <c r="O172" s="219"/>
    </row>
    <row r="173" spans="2:15" x14ac:dyDescent="0.45">
      <c r="B173" s="167"/>
      <c r="C173" s="218"/>
      <c r="D173" s="223"/>
      <c r="E173" s="223"/>
      <c r="G173" s="219"/>
      <c r="H173" s="230"/>
      <c r="I173" s="230"/>
      <c r="J173" s="219"/>
      <c r="K173" s="219"/>
      <c r="L173" s="219"/>
      <c r="M173" s="219"/>
      <c r="N173" s="219"/>
      <c r="O173" s="219"/>
    </row>
    <row r="174" spans="2:15" x14ac:dyDescent="0.45">
      <c r="B174" s="167"/>
      <c r="C174" s="218"/>
      <c r="D174" s="223"/>
      <c r="E174" s="223"/>
      <c r="G174" s="219"/>
      <c r="H174" s="230"/>
      <c r="I174" s="230"/>
      <c r="J174" s="219"/>
      <c r="K174" s="219"/>
      <c r="L174" s="219"/>
      <c r="M174" s="219"/>
      <c r="N174" s="219"/>
      <c r="O174" s="219"/>
    </row>
    <row r="175" spans="2:15" x14ac:dyDescent="0.45">
      <c r="B175" s="167"/>
      <c r="C175" s="218"/>
      <c r="D175" s="223"/>
      <c r="E175" s="223"/>
      <c r="G175" s="219"/>
      <c r="H175" s="230"/>
      <c r="I175" s="230"/>
      <c r="J175" s="219"/>
      <c r="K175" s="219"/>
      <c r="L175" s="219"/>
      <c r="M175" s="219"/>
      <c r="N175" s="219"/>
      <c r="O175" s="219"/>
    </row>
  </sheetData>
  <sheetProtection password="DA43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setSheet7" altText="Reset Form">
                <anchor moveWithCells="1" sizeWithCells="1">
                  <from>
                    <xdr:col>6</xdr:col>
                    <xdr:colOff>376238</xdr:colOff>
                    <xdr:row>2</xdr:row>
                    <xdr:rowOff>76200</xdr:rowOff>
                  </from>
                  <to>
                    <xdr:col>6</xdr:col>
                    <xdr:colOff>1185863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0.59999389629810485"/>
  </sheetPr>
  <dimension ref="A1:J45"/>
  <sheetViews>
    <sheetView showGridLines="0" showRowColHeaders="0" zoomScaleNormal="100" workbookViewId="0">
      <pane ySplit="6" topLeftCell="A19" activePane="bottomLeft" state="frozen"/>
      <selection activeCell="A3" sqref="A3"/>
      <selection pane="bottomLeft"/>
    </sheetView>
  </sheetViews>
  <sheetFormatPr defaultRowHeight="14.25" x14ac:dyDescent="0.45"/>
  <cols>
    <col min="1" max="1" width="1.9296875" style="122" customWidth="1"/>
    <col min="2" max="2" width="5.9296875" style="122" customWidth="1"/>
    <col min="3" max="3" width="12.9296875" style="122" customWidth="1"/>
    <col min="4" max="4" width="16.59765625" style="122" customWidth="1"/>
    <col min="5" max="5" width="18.19921875" style="122" customWidth="1"/>
    <col min="6" max="6" width="116.59765625" style="122" customWidth="1"/>
    <col min="7" max="7" width="6.59765625" style="122" hidden="1" customWidth="1"/>
    <col min="8" max="8" width="13.19921875" style="122" hidden="1" customWidth="1"/>
    <col min="9" max="9" width="27.59765625" style="122" hidden="1" customWidth="1"/>
    <col min="10" max="10" width="11.06640625" style="122" hidden="1" customWidth="1"/>
    <col min="11" max="16384" width="9.06640625" style="122"/>
  </cols>
  <sheetData>
    <row r="1" spans="1:10" ht="14.65" thickBot="1" x14ac:dyDescent="0.5">
      <c r="A1" s="116"/>
      <c r="B1" s="117"/>
      <c r="C1" s="118" t="s">
        <v>325</v>
      </c>
      <c r="D1" s="119"/>
      <c r="E1" s="119"/>
      <c r="F1" s="120"/>
      <c r="G1" s="120"/>
      <c r="H1" s="210"/>
      <c r="I1" s="116"/>
      <c r="J1" s="121"/>
    </row>
    <row r="2" spans="1:10" ht="18.399999999999999" thickBot="1" x14ac:dyDescent="0.6">
      <c r="A2" s="116"/>
      <c r="B2" s="123"/>
      <c r="C2" s="124" t="s">
        <v>323</v>
      </c>
      <c r="D2" s="116"/>
      <c r="E2" s="116"/>
      <c r="F2" s="125" t="s">
        <v>415</v>
      </c>
      <c r="G2" s="125"/>
      <c r="H2" s="210"/>
      <c r="I2" s="116"/>
      <c r="J2" s="121"/>
    </row>
    <row r="3" spans="1:10" ht="16.149999999999999" thickBot="1" x14ac:dyDescent="0.55000000000000004">
      <c r="A3" s="116"/>
      <c r="B3" s="123"/>
      <c r="C3" s="126" t="s">
        <v>324</v>
      </c>
      <c r="D3" s="127"/>
      <c r="E3" s="127"/>
      <c r="F3" s="128" t="s">
        <v>370</v>
      </c>
      <c r="G3" s="128"/>
      <c r="H3" s="210"/>
      <c r="I3" s="116"/>
      <c r="J3" s="121"/>
    </row>
    <row r="4" spans="1:10" ht="14.65" thickBot="1" x14ac:dyDescent="0.5">
      <c r="A4" s="116"/>
      <c r="B4" s="123"/>
      <c r="C4" s="129" t="s">
        <v>322</v>
      </c>
      <c r="D4" s="260"/>
      <c r="E4" s="116"/>
      <c r="F4" s="130"/>
      <c r="G4" s="130"/>
      <c r="H4" s="210"/>
      <c r="I4" s="116"/>
      <c r="J4" s="121"/>
    </row>
    <row r="5" spans="1:10" ht="14.65" thickBot="1" x14ac:dyDescent="0.5">
      <c r="A5" s="116"/>
      <c r="B5" s="117"/>
      <c r="C5" s="261">
        <f>General!I5</f>
        <v>2017</v>
      </c>
      <c r="D5" s="119"/>
      <c r="E5" s="119"/>
      <c r="F5" s="120"/>
      <c r="G5" s="120"/>
      <c r="H5" s="210"/>
      <c r="I5" s="116"/>
      <c r="J5" s="121"/>
    </row>
    <row r="6" spans="1:10" s="312" customFormat="1" ht="29.25" thickTop="1" thickBot="1" x14ac:dyDescent="0.5">
      <c r="A6" s="313"/>
      <c r="B6" s="318" t="s">
        <v>214</v>
      </c>
      <c r="C6" s="319" t="s">
        <v>215</v>
      </c>
      <c r="D6" s="342" t="s">
        <v>369</v>
      </c>
      <c r="E6" s="343" t="s">
        <v>166</v>
      </c>
      <c r="F6" s="321" t="s">
        <v>100</v>
      </c>
      <c r="G6" s="344"/>
      <c r="H6" s="314" t="s">
        <v>224</v>
      </c>
      <c r="I6" s="314" t="s">
        <v>223</v>
      </c>
      <c r="J6" s="317" t="s">
        <v>222</v>
      </c>
    </row>
    <row r="7" spans="1:10" ht="16.05" customHeight="1" thickTop="1" thickBot="1" x14ac:dyDescent="0.5">
      <c r="B7" s="117">
        <v>1</v>
      </c>
      <c r="C7" s="263"/>
      <c r="D7" s="326" t="s">
        <v>363</v>
      </c>
      <c r="E7" s="327" t="s">
        <v>296</v>
      </c>
      <c r="F7" s="328" t="s">
        <v>424</v>
      </c>
      <c r="G7" s="163"/>
      <c r="H7" s="131" t="s">
        <v>178</v>
      </c>
      <c r="I7" s="132" t="s">
        <v>29</v>
      </c>
      <c r="J7" s="133" t="str">
        <f>IF(C7="Yes",H7,H8)</f>
        <v>No</v>
      </c>
    </row>
    <row r="8" spans="1:10" ht="16.05" customHeight="1" thickBot="1" x14ac:dyDescent="0.5">
      <c r="B8" s="117">
        <v>2</v>
      </c>
      <c r="C8" s="264"/>
      <c r="D8" s="329" t="s">
        <v>363</v>
      </c>
      <c r="E8" s="330" t="s">
        <v>296</v>
      </c>
      <c r="F8" s="331" t="s">
        <v>425</v>
      </c>
      <c r="G8" s="163"/>
      <c r="H8" s="134" t="s">
        <v>179</v>
      </c>
      <c r="I8" s="135" t="s">
        <v>30</v>
      </c>
      <c r="J8" s="136" t="str">
        <f>IF(C7="No",H8,H7)</f>
        <v>Yes</v>
      </c>
    </row>
    <row r="9" spans="1:10" ht="16.05" customHeight="1" thickTop="1" thickBot="1" x14ac:dyDescent="0.5">
      <c r="B9" s="117">
        <v>3</v>
      </c>
      <c r="C9" s="264"/>
      <c r="D9" s="329" t="s">
        <v>363</v>
      </c>
      <c r="E9" s="330" t="s">
        <v>296</v>
      </c>
      <c r="F9" s="331" t="s">
        <v>426</v>
      </c>
      <c r="G9" s="163"/>
      <c r="H9" s="131" t="s">
        <v>178</v>
      </c>
      <c r="I9" s="132" t="s">
        <v>31</v>
      </c>
      <c r="J9" s="133" t="str">
        <f>IF(C8="Yes",H9,H10)</f>
        <v>No</v>
      </c>
    </row>
    <row r="10" spans="1:10" ht="16.05" customHeight="1" thickBot="1" x14ac:dyDescent="0.5">
      <c r="B10" s="117">
        <v>4</v>
      </c>
      <c r="C10" s="265"/>
      <c r="D10" s="330" t="s">
        <v>368</v>
      </c>
      <c r="E10" s="330"/>
      <c r="F10" s="331" t="s">
        <v>427</v>
      </c>
      <c r="G10" s="163"/>
      <c r="H10" s="134" t="s">
        <v>179</v>
      </c>
      <c r="I10" s="135" t="s">
        <v>32</v>
      </c>
      <c r="J10" s="136" t="str">
        <f>IF(C8="No",H10,H9)</f>
        <v>Yes</v>
      </c>
    </row>
    <row r="11" spans="1:10" ht="16.05" customHeight="1" thickTop="1" thickBot="1" x14ac:dyDescent="0.5">
      <c r="B11" s="117">
        <v>5</v>
      </c>
      <c r="C11" s="264"/>
      <c r="D11" s="329" t="s">
        <v>363</v>
      </c>
      <c r="E11" s="330" t="s">
        <v>296</v>
      </c>
      <c r="F11" s="331" t="s">
        <v>428</v>
      </c>
      <c r="G11" s="163"/>
      <c r="H11" s="131" t="s">
        <v>178</v>
      </c>
      <c r="I11" s="132" t="s">
        <v>33</v>
      </c>
      <c r="J11" s="133" t="str">
        <f>IF(C9="Yes",H11,H12)</f>
        <v>No</v>
      </c>
    </row>
    <row r="12" spans="1:10" ht="16.05" customHeight="1" thickBot="1" x14ac:dyDescent="0.5">
      <c r="B12" s="117">
        <v>6</v>
      </c>
      <c r="C12" s="266"/>
      <c r="D12" s="330" t="s">
        <v>368</v>
      </c>
      <c r="E12" s="330"/>
      <c r="F12" s="331" t="s">
        <v>429</v>
      </c>
      <c r="G12" s="163"/>
      <c r="H12" s="134" t="s">
        <v>179</v>
      </c>
      <c r="I12" s="135" t="s">
        <v>34</v>
      </c>
      <c r="J12" s="136" t="str">
        <f>IF(C9="No",H12,H11)</f>
        <v>Yes</v>
      </c>
    </row>
    <row r="13" spans="1:10" ht="16.05" customHeight="1" thickBot="1" x14ac:dyDescent="0.5">
      <c r="B13" s="117">
        <v>7</v>
      </c>
      <c r="C13" s="267"/>
      <c r="D13" s="330" t="s">
        <v>368</v>
      </c>
      <c r="E13" s="330" t="s">
        <v>326</v>
      </c>
      <c r="F13" s="331" t="s">
        <v>430</v>
      </c>
      <c r="G13" s="163"/>
      <c r="H13" s="137"/>
      <c r="I13" s="138" t="s">
        <v>35</v>
      </c>
      <c r="J13" s="139" t="str">
        <f>UPPER(IF(C10="","",C10))</f>
        <v/>
      </c>
    </row>
    <row r="14" spans="1:10" ht="16.05" customHeight="1" thickTop="1" thickBot="1" x14ac:dyDescent="0.5">
      <c r="B14" s="117">
        <v>8</v>
      </c>
      <c r="C14" s="268"/>
      <c r="D14" s="330" t="s">
        <v>368</v>
      </c>
      <c r="E14" s="330" t="s">
        <v>181</v>
      </c>
      <c r="F14" s="331" t="s">
        <v>431</v>
      </c>
      <c r="G14" s="163"/>
      <c r="H14" s="140" t="s">
        <v>178</v>
      </c>
      <c r="I14" s="132" t="s">
        <v>36</v>
      </c>
      <c r="J14" s="133" t="str">
        <f>IF(C11="Yes",H14,H15)</f>
        <v>No</v>
      </c>
    </row>
    <row r="15" spans="1:10" ht="16.05" customHeight="1" thickBot="1" x14ac:dyDescent="0.5">
      <c r="B15" s="117">
        <v>9</v>
      </c>
      <c r="C15" s="268"/>
      <c r="D15" s="330" t="s">
        <v>368</v>
      </c>
      <c r="E15" s="330" t="s">
        <v>181</v>
      </c>
      <c r="F15" s="331" t="s">
        <v>432</v>
      </c>
      <c r="G15" s="163"/>
      <c r="H15" s="141" t="s">
        <v>179</v>
      </c>
      <c r="I15" s="135" t="s">
        <v>37</v>
      </c>
      <c r="J15" s="136" t="str">
        <f>IF(C11="No",H15,H14)</f>
        <v>Yes</v>
      </c>
    </row>
    <row r="16" spans="1:10" ht="16.05" customHeight="1" thickBot="1" x14ac:dyDescent="0.5">
      <c r="B16" s="117">
        <v>10</v>
      </c>
      <c r="C16" s="268"/>
      <c r="D16" s="330" t="s">
        <v>368</v>
      </c>
      <c r="E16" s="330" t="s">
        <v>181</v>
      </c>
      <c r="F16" s="331" t="s">
        <v>433</v>
      </c>
      <c r="G16" s="163"/>
      <c r="H16" s="137"/>
      <c r="I16" s="142" t="s">
        <v>38</v>
      </c>
      <c r="J16" s="139" t="str">
        <f>UPPER(IF(C12="","",C12))</f>
        <v/>
      </c>
    </row>
    <row r="17" spans="2:10" ht="16.05" customHeight="1" thickTop="1" thickBot="1" x14ac:dyDescent="0.5">
      <c r="B17" s="117">
        <v>11</v>
      </c>
      <c r="C17" s="268"/>
      <c r="D17" s="330" t="s">
        <v>368</v>
      </c>
      <c r="E17" s="330" t="s">
        <v>181</v>
      </c>
      <c r="F17" s="331" t="s">
        <v>434</v>
      </c>
      <c r="G17" s="163"/>
      <c r="H17" s="140" t="s">
        <v>179</v>
      </c>
      <c r="I17" s="132" t="s">
        <v>39</v>
      </c>
      <c r="J17" s="133" t="str">
        <f>IF(C13="Canada",H17,"")</f>
        <v/>
      </c>
    </row>
    <row r="18" spans="2:10" ht="16.05" customHeight="1" thickBot="1" x14ac:dyDescent="0.5">
      <c r="B18" s="117">
        <v>12</v>
      </c>
      <c r="C18" s="268"/>
      <c r="D18" s="330" t="s">
        <v>368</v>
      </c>
      <c r="E18" s="330" t="s">
        <v>181</v>
      </c>
      <c r="F18" s="331" t="s">
        <v>435</v>
      </c>
      <c r="G18" s="163"/>
      <c r="H18" s="141" t="s">
        <v>178</v>
      </c>
      <c r="I18" s="135" t="s">
        <v>40</v>
      </c>
      <c r="J18" s="136" t="str">
        <f>IF(C13="Mexico",H18,"")</f>
        <v/>
      </c>
    </row>
    <row r="19" spans="2:10" ht="16.05" customHeight="1" thickBot="1" x14ac:dyDescent="0.5">
      <c r="B19" s="117">
        <v>13</v>
      </c>
      <c r="C19" s="268"/>
      <c r="D19" s="330" t="s">
        <v>368</v>
      </c>
      <c r="E19" s="330" t="s">
        <v>181</v>
      </c>
      <c r="F19" s="331" t="s">
        <v>436</v>
      </c>
      <c r="G19" s="163"/>
      <c r="H19" s="137"/>
      <c r="I19" s="142" t="s">
        <v>41</v>
      </c>
      <c r="J19" s="139" t="str">
        <f>IF(C14="","",C14)</f>
        <v/>
      </c>
    </row>
    <row r="20" spans="2:10" ht="16.05" customHeight="1" thickBot="1" x14ac:dyDescent="0.5">
      <c r="B20" s="117">
        <v>14</v>
      </c>
      <c r="C20" s="268"/>
      <c r="D20" s="330" t="s">
        <v>368</v>
      </c>
      <c r="E20" s="330" t="s">
        <v>181</v>
      </c>
      <c r="F20" s="331" t="s">
        <v>437</v>
      </c>
      <c r="G20" s="163"/>
      <c r="H20" s="137"/>
      <c r="I20" s="142" t="s">
        <v>42</v>
      </c>
      <c r="J20" s="139" t="str">
        <f t="shared" ref="J20:J29" si="0">IF(C15="","",C15)</f>
        <v/>
      </c>
    </row>
    <row r="21" spans="2:10" ht="16.05" customHeight="1" thickBot="1" x14ac:dyDescent="0.5">
      <c r="B21" s="117">
        <v>15</v>
      </c>
      <c r="C21" s="268"/>
      <c r="D21" s="330" t="s">
        <v>368</v>
      </c>
      <c r="E21" s="330" t="s">
        <v>181</v>
      </c>
      <c r="F21" s="331" t="s">
        <v>438</v>
      </c>
      <c r="G21" s="163"/>
      <c r="H21" s="137"/>
      <c r="I21" s="142" t="s">
        <v>157</v>
      </c>
      <c r="J21" s="139" t="str">
        <f t="shared" si="0"/>
        <v/>
      </c>
    </row>
    <row r="22" spans="2:10" ht="16.05" customHeight="1" thickBot="1" x14ac:dyDescent="0.5">
      <c r="B22" s="117">
        <v>16</v>
      </c>
      <c r="C22" s="266"/>
      <c r="D22" s="330" t="s">
        <v>368</v>
      </c>
      <c r="E22" s="330"/>
      <c r="F22" s="331" t="s">
        <v>449</v>
      </c>
      <c r="G22" s="262">
        <f>G23-1</f>
        <v>2015</v>
      </c>
      <c r="H22" s="137"/>
      <c r="I22" s="142" t="s">
        <v>158</v>
      </c>
      <c r="J22" s="139" t="str">
        <f t="shared" si="0"/>
        <v/>
      </c>
    </row>
    <row r="23" spans="2:10" ht="16.05" customHeight="1" thickBot="1" x14ac:dyDescent="0.5">
      <c r="B23" s="117">
        <v>17</v>
      </c>
      <c r="C23" s="266"/>
      <c r="D23" s="330" t="s">
        <v>368</v>
      </c>
      <c r="E23" s="330"/>
      <c r="F23" s="331" t="s">
        <v>450</v>
      </c>
      <c r="G23" s="262">
        <f>G24-1</f>
        <v>2016</v>
      </c>
      <c r="H23" s="137"/>
      <c r="I23" s="142" t="s">
        <v>159</v>
      </c>
      <c r="J23" s="139" t="str">
        <f t="shared" si="0"/>
        <v/>
      </c>
    </row>
    <row r="24" spans="2:10" ht="16.05" customHeight="1" thickBot="1" x14ac:dyDescent="0.5">
      <c r="B24" s="117">
        <v>18</v>
      </c>
      <c r="C24" s="266"/>
      <c r="D24" s="330" t="s">
        <v>368</v>
      </c>
      <c r="E24" s="330"/>
      <c r="F24" s="331" t="s">
        <v>451</v>
      </c>
      <c r="G24" s="262">
        <f>C5</f>
        <v>2017</v>
      </c>
      <c r="H24" s="137"/>
      <c r="I24" s="142" t="s">
        <v>160</v>
      </c>
      <c r="J24" s="139" t="str">
        <f t="shared" si="0"/>
        <v/>
      </c>
    </row>
    <row r="25" spans="2:10" ht="16.05" customHeight="1" thickBot="1" x14ac:dyDescent="0.5">
      <c r="B25" s="117">
        <v>19</v>
      </c>
      <c r="C25" s="264"/>
      <c r="D25" s="329" t="s">
        <v>363</v>
      </c>
      <c r="E25" s="330"/>
      <c r="F25" s="331" t="s">
        <v>439</v>
      </c>
      <c r="G25" s="163"/>
      <c r="H25" s="137"/>
      <c r="I25" s="142" t="s">
        <v>364</v>
      </c>
      <c r="J25" s="139" t="str">
        <f t="shared" si="0"/>
        <v/>
      </c>
    </row>
    <row r="26" spans="2:10" ht="16.05" customHeight="1" thickBot="1" x14ac:dyDescent="0.5">
      <c r="B26" s="117">
        <v>20</v>
      </c>
      <c r="C26" s="266"/>
      <c r="D26" s="330" t="s">
        <v>368</v>
      </c>
      <c r="E26" s="330" t="s">
        <v>313</v>
      </c>
      <c r="F26" s="331" t="s">
        <v>440</v>
      </c>
      <c r="G26" s="163"/>
      <c r="H26" s="137"/>
      <c r="I26" s="142" t="s">
        <v>365</v>
      </c>
      <c r="J26" s="139" t="str">
        <f t="shared" si="0"/>
        <v/>
      </c>
    </row>
    <row r="27" spans="2:10" ht="16.05" customHeight="1" thickBot="1" x14ac:dyDescent="0.5">
      <c r="B27" s="117">
        <v>21</v>
      </c>
      <c r="C27" s="264"/>
      <c r="D27" s="329" t="s">
        <v>363</v>
      </c>
      <c r="E27" s="330"/>
      <c r="F27" s="331" t="s">
        <v>441</v>
      </c>
      <c r="G27" s="163"/>
      <c r="H27" s="137"/>
      <c r="I27" s="142" t="s">
        <v>402</v>
      </c>
      <c r="J27" s="139" t="str">
        <f t="shared" si="0"/>
        <v/>
      </c>
    </row>
    <row r="28" spans="2:10" ht="16.05" customHeight="1" thickBot="1" x14ac:dyDescent="0.5">
      <c r="B28" s="117">
        <v>22</v>
      </c>
      <c r="C28" s="264"/>
      <c r="D28" s="329" t="s">
        <v>363</v>
      </c>
      <c r="E28" s="330"/>
      <c r="F28" s="331" t="s">
        <v>442</v>
      </c>
      <c r="G28" s="163"/>
      <c r="H28" s="137"/>
      <c r="I28" s="142" t="s">
        <v>403</v>
      </c>
      <c r="J28" s="139" t="str">
        <f t="shared" si="0"/>
        <v/>
      </c>
    </row>
    <row r="29" spans="2:10" ht="16.05" customHeight="1" thickBot="1" x14ac:dyDescent="0.5">
      <c r="B29" s="117">
        <v>23</v>
      </c>
      <c r="C29" s="264"/>
      <c r="D29" s="329" t="s">
        <v>363</v>
      </c>
      <c r="E29" s="330"/>
      <c r="F29" s="331" t="s">
        <v>443</v>
      </c>
      <c r="G29" s="163"/>
      <c r="H29" s="137"/>
      <c r="I29" s="142" t="s">
        <v>404</v>
      </c>
      <c r="J29" s="139" t="str">
        <f t="shared" si="0"/>
        <v/>
      </c>
    </row>
    <row r="30" spans="2:10" ht="16.05" customHeight="1" thickTop="1" thickBot="1" x14ac:dyDescent="0.5">
      <c r="B30" s="117">
        <v>24</v>
      </c>
      <c r="C30" s="264"/>
      <c r="D30" s="329" t="s">
        <v>363</v>
      </c>
      <c r="E30" s="330"/>
      <c r="F30" s="331" t="s">
        <v>444</v>
      </c>
      <c r="G30" s="163"/>
      <c r="H30" s="140" t="s">
        <v>178</v>
      </c>
      <c r="I30" s="132" t="s">
        <v>43</v>
      </c>
      <c r="J30" s="133" t="str">
        <f>IF(C25="Yes",H30,H31)</f>
        <v>No</v>
      </c>
    </row>
    <row r="31" spans="2:10" ht="16.05" customHeight="1" thickBot="1" x14ac:dyDescent="0.5">
      <c r="B31" s="117">
        <v>26</v>
      </c>
      <c r="C31" s="264"/>
      <c r="D31" s="329" t="s">
        <v>363</v>
      </c>
      <c r="E31" s="330"/>
      <c r="F31" s="331" t="s">
        <v>445</v>
      </c>
      <c r="G31" s="163"/>
      <c r="H31" s="143" t="s">
        <v>179</v>
      </c>
      <c r="I31" s="144" t="s">
        <v>44</v>
      </c>
      <c r="J31" s="136" t="str">
        <f>IF(C25="No",H31,H30)</f>
        <v>Yes</v>
      </c>
    </row>
    <row r="32" spans="2:10" ht="16.05" customHeight="1" thickBot="1" x14ac:dyDescent="0.5">
      <c r="B32" s="117">
        <v>27</v>
      </c>
      <c r="C32" s="269"/>
      <c r="D32" s="340" t="s">
        <v>363</v>
      </c>
      <c r="E32" s="341"/>
      <c r="F32" s="339" t="s">
        <v>446</v>
      </c>
      <c r="G32" s="163"/>
      <c r="H32" s="137"/>
      <c r="I32" s="138" t="s">
        <v>45</v>
      </c>
      <c r="J32" s="139" t="str">
        <f>IF(C26="","",C26)</f>
        <v/>
      </c>
    </row>
    <row r="33" spans="1:10" ht="16.05" customHeight="1" thickTop="1" x14ac:dyDescent="0.45">
      <c r="A33" s="163"/>
      <c r="B33" s="163"/>
      <c r="C33" s="309"/>
      <c r="D33" s="163"/>
      <c r="E33" s="163"/>
      <c r="F33" s="163"/>
      <c r="G33" s="163"/>
      <c r="H33" s="140" t="s">
        <v>178</v>
      </c>
      <c r="I33" s="132" t="s">
        <v>46</v>
      </c>
      <c r="J33" s="133" t="str">
        <f>IF(C27="Yes",H33,H34)</f>
        <v>No</v>
      </c>
    </row>
    <row r="34" spans="1:10" ht="16.05" customHeight="1" thickBot="1" x14ac:dyDescent="0.5">
      <c r="A34" s="163"/>
      <c r="B34" s="163"/>
      <c r="C34" s="309"/>
      <c r="D34" s="163"/>
      <c r="E34" s="163"/>
      <c r="F34" s="163"/>
      <c r="G34" s="163"/>
      <c r="H34" s="141" t="s">
        <v>179</v>
      </c>
      <c r="I34" s="135" t="s">
        <v>47</v>
      </c>
      <c r="J34" s="136" t="str">
        <f>IF(C27="No",H34,H33)</f>
        <v>Yes</v>
      </c>
    </row>
    <row r="35" spans="1:10" ht="16.05" customHeight="1" thickTop="1" thickBot="1" x14ac:dyDescent="0.5">
      <c r="A35" s="116"/>
      <c r="B35" s="117"/>
      <c r="C35" s="307"/>
      <c r="D35" s="119"/>
      <c r="E35" s="119"/>
      <c r="F35" s="146"/>
      <c r="G35" s="163"/>
      <c r="H35" s="140" t="s">
        <v>178</v>
      </c>
      <c r="I35" s="132" t="s">
        <v>48</v>
      </c>
      <c r="J35" s="133" t="str">
        <f>IF(C28="Yes",H35,H36)</f>
        <v>No</v>
      </c>
    </row>
    <row r="36" spans="1:10" ht="16.05" customHeight="1" thickTop="1" thickBot="1" x14ac:dyDescent="0.5">
      <c r="C36" s="308"/>
      <c r="G36" s="146"/>
      <c r="H36" s="145" t="s">
        <v>179</v>
      </c>
      <c r="I36" s="132" t="s">
        <v>49</v>
      </c>
      <c r="J36" s="136" t="str">
        <f>IF(C28="No",H36,H35)</f>
        <v>Yes</v>
      </c>
    </row>
    <row r="37" spans="1:10" ht="15" thickTop="1" thickBot="1" x14ac:dyDescent="0.5">
      <c r="C37" s="308"/>
      <c r="H37" s="147" t="s">
        <v>178</v>
      </c>
      <c r="I37" s="132" t="s">
        <v>50</v>
      </c>
      <c r="J37" s="133" t="str">
        <f>IF(C29="Yes",H37,H38)</f>
        <v>No</v>
      </c>
    </row>
    <row r="38" spans="1:10" ht="15" thickTop="1" thickBot="1" x14ac:dyDescent="0.5">
      <c r="C38" s="308"/>
      <c r="H38" s="147" t="s">
        <v>179</v>
      </c>
      <c r="I38" s="132" t="s">
        <v>51</v>
      </c>
      <c r="J38" s="136" t="str">
        <f>IF(C29="No",H38,H37)</f>
        <v>Yes</v>
      </c>
    </row>
    <row r="39" spans="1:10" ht="15" thickTop="1" thickBot="1" x14ac:dyDescent="0.5">
      <c r="C39" s="308"/>
      <c r="H39" s="147" t="s">
        <v>178</v>
      </c>
      <c r="I39" s="132" t="s">
        <v>52</v>
      </c>
      <c r="J39" s="133" t="str">
        <f>IF(C30="Yes",H39,H40)</f>
        <v>No</v>
      </c>
    </row>
    <row r="40" spans="1:10" ht="15" thickTop="1" thickBot="1" x14ac:dyDescent="0.5">
      <c r="C40" s="308"/>
      <c r="H40" s="147" t="s">
        <v>179</v>
      </c>
      <c r="I40" s="132" t="s">
        <v>53</v>
      </c>
      <c r="J40" s="136" t="str">
        <f>IF(C30="No",H40,H39)</f>
        <v>Yes</v>
      </c>
    </row>
    <row r="41" spans="1:10" ht="15" thickTop="1" thickBot="1" x14ac:dyDescent="0.5">
      <c r="H41" s="147" t="s">
        <v>178</v>
      </c>
      <c r="I41" s="184" t="s">
        <v>54</v>
      </c>
      <c r="J41" s="133" t="str">
        <f>IF(C31="Yes",H41,H42)</f>
        <v>No</v>
      </c>
    </row>
    <row r="42" spans="1:10" ht="15" thickTop="1" thickBot="1" x14ac:dyDescent="0.5">
      <c r="H42" s="147" t="s">
        <v>179</v>
      </c>
      <c r="I42" s="184" t="s">
        <v>55</v>
      </c>
      <c r="J42" s="136" t="str">
        <f>IF(C31="No",H42,H41)</f>
        <v>Yes</v>
      </c>
    </row>
    <row r="43" spans="1:10" ht="15" thickTop="1" thickBot="1" x14ac:dyDescent="0.5">
      <c r="H43" s="147" t="s">
        <v>178</v>
      </c>
      <c r="I43" s="184" t="s">
        <v>56</v>
      </c>
      <c r="J43" s="133" t="str">
        <f>IF(C32="Yes",H43,H44)</f>
        <v>No</v>
      </c>
    </row>
    <row r="44" spans="1:10" ht="15" thickTop="1" thickBot="1" x14ac:dyDescent="0.5">
      <c r="H44" s="147" t="s">
        <v>179</v>
      </c>
      <c r="I44" s="184" t="s">
        <v>57</v>
      </c>
      <c r="J44" s="136" t="str">
        <f>IF(C32="No",H44,H43)</f>
        <v>Yes</v>
      </c>
    </row>
    <row r="45" spans="1:10" ht="14.65" thickTop="1" x14ac:dyDescent="0.45"/>
  </sheetData>
  <sheetProtection password="DA43" sheet="1" objects="1" scenarios="1"/>
  <conditionalFormatting sqref="C7">
    <cfRule type="notContainsBlanks" dxfId="77" priority="30">
      <formula>LEN(TRIM(C7))&gt;0</formula>
    </cfRule>
  </conditionalFormatting>
  <conditionalFormatting sqref="C13">
    <cfRule type="notContainsBlanks" dxfId="76" priority="29">
      <formula>LEN(TRIM(C13))&gt;0</formula>
    </cfRule>
  </conditionalFormatting>
  <conditionalFormatting sqref="C8">
    <cfRule type="notContainsBlanks" dxfId="75" priority="28">
      <formula>LEN(TRIM(C8))&gt;0</formula>
    </cfRule>
  </conditionalFormatting>
  <conditionalFormatting sqref="C9">
    <cfRule type="notContainsBlanks" dxfId="74" priority="27">
      <formula>LEN(TRIM(C9))&gt;0</formula>
    </cfRule>
  </conditionalFormatting>
  <conditionalFormatting sqref="C11">
    <cfRule type="notContainsBlanks" dxfId="73" priority="26">
      <formula>LEN(TRIM(C11))&gt;0</formula>
    </cfRule>
  </conditionalFormatting>
  <conditionalFormatting sqref="C25">
    <cfRule type="notContainsBlanks" dxfId="72" priority="25">
      <formula>LEN(TRIM(C25))&gt;0</formula>
    </cfRule>
  </conditionalFormatting>
  <conditionalFormatting sqref="C29">
    <cfRule type="notContainsBlanks" dxfId="71" priority="24">
      <formula>LEN(TRIM(C29))&gt;0</formula>
    </cfRule>
  </conditionalFormatting>
  <conditionalFormatting sqref="C30">
    <cfRule type="notContainsBlanks" dxfId="70" priority="23">
      <formula>LEN(TRIM(C30))&gt;0</formula>
    </cfRule>
  </conditionalFormatting>
  <conditionalFormatting sqref="C31">
    <cfRule type="notContainsBlanks" dxfId="69" priority="22">
      <formula>LEN(TRIM(C31))&gt;0</formula>
    </cfRule>
  </conditionalFormatting>
  <conditionalFormatting sqref="C32">
    <cfRule type="notContainsBlanks" dxfId="68" priority="21">
      <formula>LEN(TRIM(C32))&gt;0</formula>
    </cfRule>
  </conditionalFormatting>
  <conditionalFormatting sqref="C10 C20:C21">
    <cfRule type="notContainsBlanks" dxfId="67" priority="19">
      <formula>LEN(TRIM(C10))&gt;0</formula>
    </cfRule>
    <cfRule type="containsBlanks" dxfId="66" priority="20">
      <formula>LEN(TRIM(C10))=0</formula>
    </cfRule>
  </conditionalFormatting>
  <conditionalFormatting sqref="C12">
    <cfRule type="notContainsBlanks" dxfId="65" priority="17">
      <formula>LEN(TRIM(C12))&gt;0</formula>
    </cfRule>
    <cfRule type="containsBlanks" dxfId="64" priority="18">
      <formula>LEN(TRIM(C12))=0</formula>
    </cfRule>
  </conditionalFormatting>
  <conditionalFormatting sqref="C14:C19">
    <cfRule type="notContainsBlanks" dxfId="63" priority="15">
      <formula>LEN(TRIM(C14))&gt;0</formula>
    </cfRule>
    <cfRule type="containsBlanks" dxfId="62" priority="16">
      <formula>LEN(TRIM(C14))=0</formula>
    </cfRule>
  </conditionalFormatting>
  <conditionalFormatting sqref="C22">
    <cfRule type="notContainsBlanks" dxfId="61" priority="13">
      <formula>LEN(TRIM(C22))&gt;0</formula>
    </cfRule>
    <cfRule type="containsBlanks" dxfId="60" priority="14">
      <formula>LEN(TRIM(C22))=0</formula>
    </cfRule>
  </conditionalFormatting>
  <conditionalFormatting sqref="C23">
    <cfRule type="notContainsBlanks" dxfId="59" priority="11">
      <formula>LEN(TRIM(C23))&gt;0</formula>
    </cfRule>
    <cfRule type="containsBlanks" dxfId="58" priority="12">
      <formula>LEN(TRIM(C23))=0</formula>
    </cfRule>
  </conditionalFormatting>
  <conditionalFormatting sqref="C24">
    <cfRule type="notContainsBlanks" dxfId="57" priority="9">
      <formula>LEN(TRIM(C24))&gt;0</formula>
    </cfRule>
    <cfRule type="containsBlanks" dxfId="56" priority="10">
      <formula>LEN(TRIM(C24))=0</formula>
    </cfRule>
  </conditionalFormatting>
  <conditionalFormatting sqref="C26">
    <cfRule type="notContainsBlanks" dxfId="55" priority="7">
      <formula>LEN(TRIM(C26))&gt;0</formula>
    </cfRule>
    <cfRule type="containsBlanks" dxfId="54" priority="8">
      <formula>LEN(TRIM(C26))=0</formula>
    </cfRule>
  </conditionalFormatting>
  <conditionalFormatting sqref="C27">
    <cfRule type="notContainsBlanks" dxfId="53" priority="6">
      <formula>LEN(TRIM(C27))&gt;0</formula>
    </cfRule>
  </conditionalFormatting>
  <conditionalFormatting sqref="C28">
    <cfRule type="notContainsBlanks" dxfId="52" priority="5">
      <formula>LEN(TRIM(C28))&gt;0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3" name="Button 9">
              <controlPr defaultSize="0" print="0" autoFill="0" autoPict="0" macro="[0]!ResetSheet8" altText="Reset Form">
                <anchor moveWithCells="1" sizeWithCells="1">
                  <from>
                    <xdr:col>5</xdr:col>
                    <xdr:colOff>5062538</xdr:colOff>
                    <xdr:row>1</xdr:row>
                    <xdr:rowOff>47625</xdr:rowOff>
                  </from>
                  <to>
                    <xdr:col>5</xdr:col>
                    <xdr:colOff>5872163</xdr:colOff>
                    <xdr:row>2</xdr:row>
                    <xdr:rowOff>71438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Lists!$H$3:$H$5</xm:f>
          </x14:formula1>
          <xm:sqref>C13</xm:sqref>
        </x14:dataValidation>
        <x14:dataValidation type="list" showInputMessage="1" showErrorMessage="1">
          <x14:formula1>
            <xm:f>Lists!$A$2:$A$4</xm:f>
          </x14:formula1>
          <xm:sqref>C7:C9 C11 C25 C27:C30 C31:C32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K84"/>
  <sheetViews>
    <sheetView workbookViewId="0"/>
  </sheetViews>
  <sheetFormatPr defaultRowHeight="14.25" x14ac:dyDescent="0.45"/>
  <cols>
    <col min="1" max="1" width="27.86328125" style="111" customWidth="1"/>
    <col min="2" max="2" width="15.33203125" style="103" customWidth="1"/>
    <col min="3" max="3" width="12.46484375" style="103" customWidth="1"/>
    <col min="4" max="4" width="14" style="103" customWidth="1"/>
    <col min="5" max="5" width="17.86328125" style="105" customWidth="1"/>
    <col min="6" max="6" width="97.19921875" style="112" customWidth="1"/>
    <col min="7" max="7" width="24.86328125" style="115" customWidth="1"/>
    <col min="8" max="8" width="17.73046875" style="103" customWidth="1"/>
    <col min="9" max="9" width="9.06640625" style="87"/>
    <col min="10" max="10" width="38.3984375" style="347" customWidth="1"/>
    <col min="11" max="16384" width="9.06640625" style="104"/>
  </cols>
  <sheetData>
    <row r="1" spans="1:10" s="94" customFormat="1" x14ac:dyDescent="0.45">
      <c r="A1" s="90" t="s">
        <v>161</v>
      </c>
      <c r="B1" s="91" t="s">
        <v>162</v>
      </c>
      <c r="C1" s="91" t="s">
        <v>163</v>
      </c>
      <c r="D1" s="91" t="s">
        <v>164</v>
      </c>
      <c r="E1" s="92" t="s">
        <v>166</v>
      </c>
      <c r="F1" s="93" t="s">
        <v>100</v>
      </c>
      <c r="G1" s="113" t="s">
        <v>361</v>
      </c>
      <c r="H1" s="91"/>
      <c r="I1" s="91"/>
      <c r="J1" s="345"/>
    </row>
    <row r="2" spans="1:10" s="98" customFormat="1" x14ac:dyDescent="0.45">
      <c r="A2" s="95" t="s">
        <v>5</v>
      </c>
      <c r="B2" s="89" t="s">
        <v>176</v>
      </c>
      <c r="C2" s="89"/>
      <c r="D2" s="89" t="s">
        <v>177</v>
      </c>
      <c r="E2" s="96" t="s">
        <v>355</v>
      </c>
      <c r="F2" s="97" t="s">
        <v>140</v>
      </c>
      <c r="G2" s="114" t="s">
        <v>355</v>
      </c>
      <c r="H2" s="89" t="s">
        <v>362</v>
      </c>
      <c r="I2" s="89" t="s">
        <v>363</v>
      </c>
      <c r="J2" s="346"/>
    </row>
    <row r="3" spans="1:10" s="98" customFormat="1" x14ac:dyDescent="0.45">
      <c r="A3" s="95" t="s">
        <v>6</v>
      </c>
      <c r="B3" s="89" t="s">
        <v>176</v>
      </c>
      <c r="C3" s="89"/>
      <c r="D3" s="89" t="s">
        <v>177</v>
      </c>
      <c r="E3" s="96" t="s">
        <v>356</v>
      </c>
      <c r="F3" s="97" t="s">
        <v>141</v>
      </c>
      <c r="G3" s="114" t="s">
        <v>356</v>
      </c>
      <c r="H3" s="89" t="s">
        <v>362</v>
      </c>
      <c r="I3" s="89" t="s">
        <v>363</v>
      </c>
      <c r="J3" s="346"/>
    </row>
    <row r="4" spans="1:10" s="187" customFormat="1" x14ac:dyDescent="0.45">
      <c r="A4" s="188" t="s">
        <v>7</v>
      </c>
      <c r="B4" s="189" t="s">
        <v>176</v>
      </c>
      <c r="C4" s="189"/>
      <c r="D4" s="189" t="s">
        <v>177</v>
      </c>
      <c r="E4" s="190" t="s">
        <v>354</v>
      </c>
      <c r="F4" s="191" t="s">
        <v>165</v>
      </c>
      <c r="G4" s="254" t="str">
        <f>RIGHT(General!I5,2)</f>
        <v>17</v>
      </c>
      <c r="H4" s="189" t="s">
        <v>362</v>
      </c>
      <c r="I4" s="189" t="s">
        <v>363</v>
      </c>
      <c r="J4" s="346"/>
    </row>
    <row r="5" spans="1:10" s="98" customFormat="1" x14ac:dyDescent="0.45">
      <c r="A5" s="99" t="s">
        <v>8</v>
      </c>
      <c r="B5" s="100" t="s">
        <v>176</v>
      </c>
      <c r="C5" s="100"/>
      <c r="D5" s="100" t="s">
        <v>177</v>
      </c>
      <c r="E5" s="101" t="s">
        <v>167</v>
      </c>
      <c r="F5" s="102" t="s">
        <v>142</v>
      </c>
      <c r="G5" s="115" t="str">
        <f>UPPER(General!C5 &amp; " " &amp; LEFT(General!C6,1))</f>
        <v xml:space="preserve"> </v>
      </c>
      <c r="H5" s="100"/>
      <c r="I5" s="100"/>
      <c r="J5" s="346"/>
    </row>
    <row r="6" spans="1:10" s="98" customFormat="1" x14ac:dyDescent="0.45">
      <c r="A6" s="99" t="s">
        <v>9</v>
      </c>
      <c r="B6" s="100" t="s">
        <v>176</v>
      </c>
      <c r="C6" s="100"/>
      <c r="D6" s="100" t="s">
        <v>177</v>
      </c>
      <c r="E6" s="101" t="s">
        <v>168</v>
      </c>
      <c r="F6" s="102" t="s">
        <v>143</v>
      </c>
      <c r="G6" s="115" t="str">
        <f>UPPER(General!C7)</f>
        <v/>
      </c>
      <c r="H6" s="100"/>
      <c r="I6" s="100"/>
      <c r="J6" s="346"/>
    </row>
    <row r="7" spans="1:10" x14ac:dyDescent="0.45">
      <c r="A7" s="99" t="s">
        <v>10</v>
      </c>
      <c r="B7" s="100" t="s">
        <v>176</v>
      </c>
      <c r="C7" s="100"/>
      <c r="D7" s="100" t="s">
        <v>177</v>
      </c>
      <c r="E7" s="101" t="s">
        <v>169</v>
      </c>
      <c r="F7" s="102" t="s">
        <v>144</v>
      </c>
      <c r="G7" s="115">
        <f>General!C18</f>
        <v>0</v>
      </c>
    </row>
    <row r="8" spans="1:10" x14ac:dyDescent="0.45">
      <c r="A8" s="99" t="s">
        <v>11</v>
      </c>
      <c r="B8" s="100" t="s">
        <v>176</v>
      </c>
      <c r="C8" s="100"/>
      <c r="D8" s="100" t="s">
        <v>177</v>
      </c>
      <c r="E8" s="101" t="s">
        <v>170</v>
      </c>
      <c r="F8" s="102" t="s">
        <v>145</v>
      </c>
      <c r="G8" s="115" t="str">
        <f>IF(UPPER(General!C8)&lt;&gt;"",UPPER(General!C8) &amp; " " &amp; UPPER(General!C9),UPPER(General!C9))</f>
        <v/>
      </c>
    </row>
    <row r="9" spans="1:10" x14ac:dyDescent="0.45">
      <c r="A9" s="95" t="s">
        <v>12</v>
      </c>
      <c r="B9" s="89" t="s">
        <v>175</v>
      </c>
      <c r="C9" s="89"/>
      <c r="D9" s="89" t="s">
        <v>177</v>
      </c>
      <c r="E9" s="96">
        <v>1</v>
      </c>
      <c r="F9" s="97" t="s">
        <v>147</v>
      </c>
      <c r="G9" s="88">
        <v>1</v>
      </c>
      <c r="H9" s="89" t="s">
        <v>362</v>
      </c>
      <c r="I9" s="89" t="s">
        <v>363</v>
      </c>
    </row>
    <row r="10" spans="1:10" x14ac:dyDescent="0.45">
      <c r="A10" s="151" t="s">
        <v>406</v>
      </c>
      <c r="B10" s="150" t="s">
        <v>408</v>
      </c>
      <c r="C10" s="150" t="s">
        <v>178</v>
      </c>
      <c r="D10" s="150" t="s">
        <v>177</v>
      </c>
      <c r="E10" s="152" t="s">
        <v>409</v>
      </c>
      <c r="F10" s="154" t="s">
        <v>410</v>
      </c>
      <c r="G10" s="149" t="s">
        <v>178</v>
      </c>
      <c r="H10" s="150" t="s">
        <v>362</v>
      </c>
      <c r="I10" s="150" t="s">
        <v>363</v>
      </c>
    </row>
    <row r="11" spans="1:10" x14ac:dyDescent="0.45">
      <c r="A11" s="99" t="s">
        <v>13</v>
      </c>
      <c r="B11" s="100" t="s">
        <v>176</v>
      </c>
      <c r="C11" s="100"/>
      <c r="D11" s="100" t="s">
        <v>177</v>
      </c>
      <c r="E11" s="101" t="s">
        <v>173</v>
      </c>
      <c r="F11" s="102" t="s">
        <v>146</v>
      </c>
      <c r="G11" s="115" t="str">
        <f>UPPER(General!C10 &amp; ", " &amp; General!C11 &amp; ", " &amp; General!C12 &amp; ", " &amp; General!C13 &amp; ", " &amp; General!C14)</f>
        <v xml:space="preserve">, , , , </v>
      </c>
    </row>
    <row r="12" spans="1:10" x14ac:dyDescent="0.45">
      <c r="A12" s="99" t="s">
        <v>14</v>
      </c>
      <c r="B12" s="100" t="s">
        <v>176</v>
      </c>
      <c r="C12" s="100"/>
      <c r="D12" s="100" t="s">
        <v>177</v>
      </c>
      <c r="E12" s="101" t="s">
        <v>172</v>
      </c>
      <c r="F12" s="102" t="s">
        <v>149</v>
      </c>
      <c r="G12" s="115" t="str">
        <f>UPPER(General!C13)</f>
        <v/>
      </c>
    </row>
    <row r="13" spans="1:10" x14ac:dyDescent="0.45">
      <c r="A13" s="99" t="s">
        <v>15</v>
      </c>
      <c r="B13" s="100" t="s">
        <v>176</v>
      </c>
      <c r="C13" s="100"/>
      <c r="D13" s="100" t="s">
        <v>177</v>
      </c>
      <c r="E13" s="101" t="s">
        <v>173</v>
      </c>
      <c r="F13" s="102" t="s">
        <v>150</v>
      </c>
      <c r="G13" s="115" t="str">
        <f>UPPER(General!C12)</f>
        <v/>
      </c>
    </row>
    <row r="14" spans="1:10" x14ac:dyDescent="0.45">
      <c r="A14" s="99" t="s">
        <v>16</v>
      </c>
      <c r="B14" s="100" t="s">
        <v>176</v>
      </c>
      <c r="C14" s="100"/>
      <c r="D14" s="100" t="s">
        <v>177</v>
      </c>
      <c r="E14" s="101" t="s">
        <v>174</v>
      </c>
      <c r="F14" s="102" t="s">
        <v>151</v>
      </c>
      <c r="G14" s="115" t="str">
        <f>UPPER(General!C14)</f>
        <v/>
      </c>
    </row>
    <row r="15" spans="1:10" x14ac:dyDescent="0.45">
      <c r="A15" s="95" t="s">
        <v>17</v>
      </c>
      <c r="B15" s="89" t="s">
        <v>175</v>
      </c>
      <c r="C15" s="89">
        <v>2</v>
      </c>
      <c r="D15" s="89">
        <v>0</v>
      </c>
      <c r="E15" s="96">
        <v>2</v>
      </c>
      <c r="F15" s="97" t="s">
        <v>328</v>
      </c>
      <c r="G15" s="88">
        <v>2</v>
      </c>
      <c r="H15" s="89" t="s">
        <v>362</v>
      </c>
      <c r="I15" s="89" t="s">
        <v>363</v>
      </c>
    </row>
    <row r="16" spans="1:10" s="153" customFormat="1" x14ac:dyDescent="0.45">
      <c r="A16" s="157" t="s">
        <v>405</v>
      </c>
      <c r="B16" s="156" t="s">
        <v>411</v>
      </c>
      <c r="C16" s="156"/>
      <c r="D16" s="156" t="s">
        <v>177</v>
      </c>
      <c r="E16" s="158">
        <v>1</v>
      </c>
      <c r="F16" s="159" t="s">
        <v>412</v>
      </c>
      <c r="G16" s="155">
        <v>1</v>
      </c>
      <c r="H16" s="156" t="s">
        <v>362</v>
      </c>
      <c r="I16" s="156" t="s">
        <v>363</v>
      </c>
      <c r="J16" s="347"/>
    </row>
    <row r="17" spans="1:10" s="153" customFormat="1" x14ac:dyDescent="0.45">
      <c r="A17" s="157" t="s">
        <v>407</v>
      </c>
      <c r="B17" s="156" t="s">
        <v>411</v>
      </c>
      <c r="C17" s="156"/>
      <c r="D17" s="156" t="s">
        <v>177</v>
      </c>
      <c r="E17" s="158">
        <v>1</v>
      </c>
      <c r="F17" s="159" t="s">
        <v>413</v>
      </c>
      <c r="G17" s="155">
        <v>1</v>
      </c>
      <c r="H17" s="156" t="s">
        <v>362</v>
      </c>
      <c r="I17" s="156" t="s">
        <v>363</v>
      </c>
      <c r="J17" s="348"/>
    </row>
    <row r="18" spans="1:10" x14ac:dyDescent="0.45">
      <c r="A18" s="160" t="s">
        <v>397</v>
      </c>
      <c r="B18" s="148" t="s">
        <v>176</v>
      </c>
      <c r="C18" s="148"/>
      <c r="D18" s="148" t="s">
        <v>177</v>
      </c>
      <c r="E18" s="148"/>
      <c r="F18" s="162" t="s">
        <v>333</v>
      </c>
      <c r="G18" s="85">
        <f>ROUNDDOWN(Bank_Accounts_2017!$G$2,0)</f>
        <v>0</v>
      </c>
      <c r="H18" s="89"/>
      <c r="I18" s="89"/>
    </row>
    <row r="19" spans="1:10" x14ac:dyDescent="0.45">
      <c r="A19" s="160" t="s">
        <v>398</v>
      </c>
      <c r="B19" s="148" t="s">
        <v>176</v>
      </c>
      <c r="C19" s="148"/>
      <c r="D19" s="148" t="s">
        <v>177</v>
      </c>
      <c r="E19" s="148"/>
      <c r="F19" s="162" t="s">
        <v>334</v>
      </c>
      <c r="G19" s="85" t="str">
        <f>RIGHT(ROUND(Bank_Accounts_2017!$G$2-TRUNC(Bank_Accounts_2017!$G$2),2),2)</f>
        <v>0</v>
      </c>
      <c r="H19" s="89"/>
      <c r="I19" s="89"/>
    </row>
    <row r="20" spans="1:10" x14ac:dyDescent="0.45">
      <c r="A20" s="99" t="s">
        <v>338</v>
      </c>
      <c r="B20" s="89" t="s">
        <v>176</v>
      </c>
      <c r="C20" s="89"/>
      <c r="D20" s="89" t="s">
        <v>177</v>
      </c>
      <c r="E20" s="89"/>
      <c r="F20" s="97" t="s">
        <v>336</v>
      </c>
      <c r="G20" s="161">
        <f>ROUNDDOWN(Bank_Accounts_2017!$G$2,0)</f>
        <v>0</v>
      </c>
      <c r="H20" s="89"/>
      <c r="I20" s="89"/>
    </row>
    <row r="21" spans="1:10" x14ac:dyDescent="0.45">
      <c r="A21" s="99" t="s">
        <v>339</v>
      </c>
      <c r="B21" s="89" t="s">
        <v>176</v>
      </c>
      <c r="C21" s="89"/>
      <c r="D21" s="89" t="s">
        <v>177</v>
      </c>
      <c r="E21" s="89"/>
      <c r="F21" s="97" t="s">
        <v>337</v>
      </c>
      <c r="G21" s="161" t="str">
        <f>RIGHT(ROUND(Bank_Accounts_2017!$G$2-TRUNC(Bank_Accounts_2017!$G$2),2),2)</f>
        <v>0</v>
      </c>
      <c r="H21" s="89"/>
      <c r="I21" s="89"/>
    </row>
    <row r="22" spans="1:10" x14ac:dyDescent="0.45">
      <c r="A22" s="99" t="s">
        <v>340</v>
      </c>
      <c r="B22" s="89" t="s">
        <v>176</v>
      </c>
      <c r="C22" s="89"/>
      <c r="D22" s="89" t="s">
        <v>177</v>
      </c>
      <c r="E22" s="89"/>
      <c r="F22" s="97" t="s">
        <v>342</v>
      </c>
      <c r="G22" s="161">
        <f>ROUNDDOWN(Bank_Accounts_2017!$G$2,0)</f>
        <v>0</v>
      </c>
      <c r="H22" s="89"/>
      <c r="I22" s="89"/>
    </row>
    <row r="23" spans="1:10" x14ac:dyDescent="0.45">
      <c r="A23" s="99" t="s">
        <v>341</v>
      </c>
      <c r="B23" s="89" t="s">
        <v>176</v>
      </c>
      <c r="C23" s="89"/>
      <c r="D23" s="89" t="s">
        <v>177</v>
      </c>
      <c r="E23" s="89"/>
      <c r="F23" s="97" t="s">
        <v>343</v>
      </c>
      <c r="G23" s="161" t="str">
        <f>RIGHT(ROUND(Bank_Accounts_2017!$G$2-TRUNC(Bank_Accounts_2017!$G$2),2),2)</f>
        <v>0</v>
      </c>
      <c r="H23" s="89"/>
      <c r="I23" s="89"/>
    </row>
    <row r="24" spans="1:10" x14ac:dyDescent="0.45">
      <c r="A24" s="99" t="s">
        <v>357</v>
      </c>
      <c r="B24" s="89" t="s">
        <v>176</v>
      </c>
      <c r="C24" s="89"/>
      <c r="D24" s="89" t="s">
        <v>177</v>
      </c>
      <c r="E24" s="89"/>
      <c r="F24" s="97" t="s">
        <v>359</v>
      </c>
      <c r="G24" s="161">
        <f>ROUNDDOWN(Bank_Accounts_2017!$G$2,0)</f>
        <v>0</v>
      </c>
      <c r="H24" s="89" t="s">
        <v>362</v>
      </c>
      <c r="I24" s="89" t="s">
        <v>363</v>
      </c>
    </row>
    <row r="25" spans="1:10" x14ac:dyDescent="0.45">
      <c r="A25" s="99" t="s">
        <v>358</v>
      </c>
      <c r="B25" s="89" t="s">
        <v>176</v>
      </c>
      <c r="C25" s="89"/>
      <c r="D25" s="89" t="s">
        <v>177</v>
      </c>
      <c r="E25" s="89"/>
      <c r="F25" s="97" t="s">
        <v>360</v>
      </c>
      <c r="G25" s="161" t="str">
        <f>RIGHT(ROUND(Bank_Accounts_2017!$G$2-TRUNC(Bank_Accounts_2017!$G$2),2),2)</f>
        <v>0</v>
      </c>
      <c r="H25" s="89" t="s">
        <v>362</v>
      </c>
      <c r="I25" s="89" t="s">
        <v>363</v>
      </c>
    </row>
    <row r="26" spans="1:10" x14ac:dyDescent="0.45">
      <c r="A26" s="95" t="s">
        <v>18</v>
      </c>
      <c r="B26" s="89" t="s">
        <v>176</v>
      </c>
      <c r="C26" s="89"/>
      <c r="D26" s="89" t="s">
        <v>177</v>
      </c>
      <c r="E26" s="89" t="s">
        <v>186</v>
      </c>
      <c r="F26" s="97" t="s">
        <v>105</v>
      </c>
      <c r="G26" s="155" t="s">
        <v>186</v>
      </c>
      <c r="H26" s="89" t="s">
        <v>362</v>
      </c>
      <c r="I26" s="89" t="s">
        <v>363</v>
      </c>
    </row>
    <row r="27" spans="1:10" x14ac:dyDescent="0.45">
      <c r="A27" s="99" t="s">
        <v>19</v>
      </c>
      <c r="B27" s="100" t="s">
        <v>176</v>
      </c>
      <c r="C27" s="100"/>
      <c r="D27" s="100" t="s">
        <v>177</v>
      </c>
      <c r="E27" s="100"/>
      <c r="F27" s="102" t="s">
        <v>344</v>
      </c>
      <c r="G27" s="161">
        <f>ROUNDDOWN(Bank_Accounts_2017!$G$2,0)</f>
        <v>0</v>
      </c>
    </row>
    <row r="28" spans="1:10" x14ac:dyDescent="0.45">
      <c r="A28" s="99" t="s">
        <v>20</v>
      </c>
      <c r="B28" s="100" t="s">
        <v>176</v>
      </c>
      <c r="C28" s="100"/>
      <c r="D28" s="100" t="s">
        <v>177</v>
      </c>
      <c r="E28" s="100"/>
      <c r="F28" s="102" t="s">
        <v>345</v>
      </c>
      <c r="G28" s="161" t="str">
        <f>RIGHT(ROUND(Bank_Accounts_2017!$G$2-TRUNC(Bank_Accounts_2017!$G$2),2),2)</f>
        <v>0</v>
      </c>
    </row>
    <row r="29" spans="1:10" x14ac:dyDescent="0.45">
      <c r="A29" s="99" t="s">
        <v>21</v>
      </c>
      <c r="B29" s="100" t="s">
        <v>176</v>
      </c>
      <c r="C29" s="100"/>
      <c r="D29" s="100" t="s">
        <v>177</v>
      </c>
      <c r="E29" s="100"/>
      <c r="F29" s="102" t="s">
        <v>346</v>
      </c>
      <c r="G29" s="161">
        <f>ROUNDDOWN(Bank_Accounts_2017!$G$2,0)</f>
        <v>0</v>
      </c>
    </row>
    <row r="30" spans="1:10" x14ac:dyDescent="0.45">
      <c r="A30" s="99" t="s">
        <v>22</v>
      </c>
      <c r="B30" s="100" t="s">
        <v>176</v>
      </c>
      <c r="C30" s="100"/>
      <c r="D30" s="100" t="s">
        <v>177</v>
      </c>
      <c r="E30" s="100"/>
      <c r="F30" s="102" t="s">
        <v>347</v>
      </c>
      <c r="G30" s="161" t="str">
        <f>RIGHT(ROUND(Bank_Accounts_2017!$G$2-TRUNC(Bank_Accounts_2017!$G$2),2),2)</f>
        <v>0</v>
      </c>
    </row>
    <row r="31" spans="1:10" x14ac:dyDescent="0.45">
      <c r="A31" s="95" t="s">
        <v>23</v>
      </c>
      <c r="B31" s="89" t="s">
        <v>176</v>
      </c>
      <c r="C31" s="89"/>
      <c r="D31" s="89" t="s">
        <v>177</v>
      </c>
      <c r="E31" s="89" t="s">
        <v>187</v>
      </c>
      <c r="F31" s="97" t="s">
        <v>348</v>
      </c>
      <c r="G31" s="114">
        <v>0</v>
      </c>
      <c r="H31" s="89" t="s">
        <v>362</v>
      </c>
      <c r="I31" s="89" t="s">
        <v>363</v>
      </c>
    </row>
    <row r="32" spans="1:10" x14ac:dyDescent="0.45">
      <c r="A32" s="95" t="s">
        <v>24</v>
      </c>
      <c r="B32" s="89" t="s">
        <v>176</v>
      </c>
      <c r="C32" s="89"/>
      <c r="D32" s="89" t="s">
        <v>177</v>
      </c>
      <c r="E32" s="89" t="s">
        <v>188</v>
      </c>
      <c r="F32" s="97" t="s">
        <v>350</v>
      </c>
      <c r="G32" s="114" t="s">
        <v>188</v>
      </c>
      <c r="H32" s="89" t="s">
        <v>362</v>
      </c>
      <c r="I32" s="89" t="s">
        <v>363</v>
      </c>
    </row>
    <row r="33" spans="1:11" x14ac:dyDescent="0.45">
      <c r="A33" s="95" t="s">
        <v>25</v>
      </c>
      <c r="B33" s="89" t="s">
        <v>176</v>
      </c>
      <c r="C33" s="89"/>
      <c r="D33" s="89" t="s">
        <v>177</v>
      </c>
      <c r="E33" s="89" t="s">
        <v>187</v>
      </c>
      <c r="F33" s="97" t="s">
        <v>349</v>
      </c>
      <c r="G33" s="114">
        <v>0</v>
      </c>
      <c r="H33" s="89" t="s">
        <v>362</v>
      </c>
      <c r="I33" s="89" t="s">
        <v>363</v>
      </c>
    </row>
    <row r="34" spans="1:11" x14ac:dyDescent="0.45">
      <c r="A34" s="95" t="s">
        <v>26</v>
      </c>
      <c r="B34" s="89" t="s">
        <v>176</v>
      </c>
      <c r="C34" s="89"/>
      <c r="D34" s="89" t="s">
        <v>177</v>
      </c>
      <c r="E34" s="89" t="s">
        <v>188</v>
      </c>
      <c r="F34" s="97" t="s">
        <v>351</v>
      </c>
      <c r="G34" s="114" t="s">
        <v>188</v>
      </c>
      <c r="H34" s="89" t="s">
        <v>362</v>
      </c>
      <c r="I34" s="89" t="s">
        <v>363</v>
      </c>
    </row>
    <row r="35" spans="1:11" x14ac:dyDescent="0.45">
      <c r="A35" s="99" t="s">
        <v>27</v>
      </c>
      <c r="B35" s="100" t="s">
        <v>176</v>
      </c>
      <c r="C35" s="100"/>
      <c r="D35" s="100" t="s">
        <v>177</v>
      </c>
      <c r="E35" s="100" t="s">
        <v>172</v>
      </c>
      <c r="F35" s="102" t="s">
        <v>106</v>
      </c>
      <c r="G35" s="115" t="str">
        <f>UPPER(General!C19)</f>
        <v/>
      </c>
    </row>
    <row r="36" spans="1:11" x14ac:dyDescent="0.45">
      <c r="A36" s="99" t="s">
        <v>28</v>
      </c>
      <c r="B36" s="100" t="s">
        <v>176</v>
      </c>
      <c r="C36" s="100"/>
      <c r="D36" s="100" t="s">
        <v>177</v>
      </c>
      <c r="E36" s="100" t="s">
        <v>172</v>
      </c>
      <c r="F36" s="102" t="s">
        <v>107</v>
      </c>
      <c r="G36" s="115" t="str">
        <f>UPPER(General!C20)</f>
        <v/>
      </c>
      <c r="I36" s="103"/>
      <c r="J36" s="349"/>
    </row>
    <row r="37" spans="1:11" s="106" customFormat="1" x14ac:dyDescent="0.45">
      <c r="A37" s="107" t="s">
        <v>29</v>
      </c>
      <c r="B37" s="108" t="s">
        <v>171</v>
      </c>
      <c r="C37" s="108" t="s">
        <v>178</v>
      </c>
      <c r="D37" s="108" t="s">
        <v>177</v>
      </c>
      <c r="E37" s="109" t="s">
        <v>177</v>
      </c>
      <c r="F37" s="110" t="s">
        <v>108</v>
      </c>
      <c r="G37" s="115" t="str">
        <f>IF(Form_1040NR_2017!J7="","",Form_1040NR_2017!J7)</f>
        <v>No</v>
      </c>
      <c r="H37" s="108"/>
      <c r="I37" s="108"/>
      <c r="J37" s="350"/>
      <c r="K37" s="116"/>
    </row>
    <row r="38" spans="1:11" x14ac:dyDescent="0.45">
      <c r="A38" s="99" t="s">
        <v>30</v>
      </c>
      <c r="B38" s="100" t="s">
        <v>171</v>
      </c>
      <c r="C38" s="100" t="s">
        <v>179</v>
      </c>
      <c r="D38" s="100" t="s">
        <v>177</v>
      </c>
      <c r="E38" s="101" t="s">
        <v>180</v>
      </c>
      <c r="F38" s="102" t="s">
        <v>109</v>
      </c>
      <c r="G38" s="115" t="str">
        <f>IF(Form_1040NR_2017!J8="","",Form_1040NR_2017!J8)</f>
        <v>Yes</v>
      </c>
      <c r="I38" s="103"/>
      <c r="J38" s="350"/>
    </row>
    <row r="39" spans="1:11" s="106" customFormat="1" x14ac:dyDescent="0.45">
      <c r="A39" s="107" t="s">
        <v>31</v>
      </c>
      <c r="B39" s="108" t="s">
        <v>171</v>
      </c>
      <c r="C39" s="108" t="s">
        <v>178</v>
      </c>
      <c r="D39" s="108" t="s">
        <v>177</v>
      </c>
      <c r="E39" s="109" t="s">
        <v>177</v>
      </c>
      <c r="F39" s="110" t="s">
        <v>110</v>
      </c>
      <c r="G39" s="165" t="str">
        <f>IF(Form_1040NR_2017!J9="","",Form_1040NR_2017!J9)</f>
        <v>No</v>
      </c>
      <c r="H39" s="108"/>
      <c r="I39" s="108"/>
      <c r="J39" s="350"/>
    </row>
    <row r="40" spans="1:11" x14ac:dyDescent="0.45">
      <c r="A40" s="99" t="s">
        <v>32</v>
      </c>
      <c r="B40" s="100" t="s">
        <v>171</v>
      </c>
      <c r="C40" s="100" t="s">
        <v>179</v>
      </c>
      <c r="D40" s="100" t="s">
        <v>177</v>
      </c>
      <c r="E40" s="101" t="s">
        <v>180</v>
      </c>
      <c r="F40" s="102" t="s">
        <v>111</v>
      </c>
      <c r="G40" s="165" t="str">
        <f>IF(Form_1040NR_2017!J10="","",Form_1040NR_2017!J10)</f>
        <v>Yes</v>
      </c>
      <c r="I40" s="103"/>
      <c r="J40" s="350"/>
    </row>
    <row r="41" spans="1:11" x14ac:dyDescent="0.45">
      <c r="A41" s="99" t="s">
        <v>33</v>
      </c>
      <c r="B41" s="100" t="s">
        <v>171</v>
      </c>
      <c r="C41" s="100" t="s">
        <v>178</v>
      </c>
      <c r="D41" s="100" t="s">
        <v>177</v>
      </c>
      <c r="E41" s="101" t="s">
        <v>177</v>
      </c>
      <c r="F41" s="102" t="s">
        <v>112</v>
      </c>
      <c r="G41" s="115" t="str">
        <f>IF(Form_1040NR_2017!J11="","",Form_1040NR_2017!J11)</f>
        <v>No</v>
      </c>
      <c r="I41" s="103"/>
      <c r="J41" s="350"/>
    </row>
    <row r="42" spans="1:11" x14ac:dyDescent="0.45">
      <c r="A42" s="99" t="s">
        <v>34</v>
      </c>
      <c r="B42" s="100" t="s">
        <v>171</v>
      </c>
      <c r="C42" s="100" t="s">
        <v>179</v>
      </c>
      <c r="D42" s="100" t="s">
        <v>177</v>
      </c>
      <c r="E42" s="101" t="s">
        <v>180</v>
      </c>
      <c r="F42" s="102" t="s">
        <v>113</v>
      </c>
      <c r="G42" s="115" t="str">
        <f>IF(Form_1040NR_2017!J12="","",Form_1040NR_2017!J12)</f>
        <v>Yes</v>
      </c>
      <c r="I42" s="103"/>
      <c r="J42" s="350"/>
    </row>
    <row r="43" spans="1:11" ht="28.5" x14ac:dyDescent="0.45">
      <c r="A43" s="99" t="s">
        <v>35</v>
      </c>
      <c r="B43" s="100" t="s">
        <v>176</v>
      </c>
      <c r="C43" s="100"/>
      <c r="D43" s="100" t="s">
        <v>177</v>
      </c>
      <c r="E43" s="101"/>
      <c r="F43" s="102" t="s">
        <v>114</v>
      </c>
      <c r="G43" s="115" t="str">
        <f>IF(Form_1040NR_2017!J13="","",Form_1040NR_2017!J13)</f>
        <v/>
      </c>
      <c r="I43" s="103"/>
      <c r="J43" s="350"/>
    </row>
    <row r="44" spans="1:11" x14ac:dyDescent="0.45">
      <c r="A44" s="99" t="s">
        <v>36</v>
      </c>
      <c r="B44" s="100" t="s">
        <v>171</v>
      </c>
      <c r="C44" s="100" t="s">
        <v>178</v>
      </c>
      <c r="D44" s="100" t="s">
        <v>177</v>
      </c>
      <c r="E44" s="101" t="s">
        <v>177</v>
      </c>
      <c r="F44" s="102" t="s">
        <v>115</v>
      </c>
      <c r="G44" s="115" t="str">
        <f>IF(Form_1040NR_2017!J14="","",Form_1040NR_2017!J14)</f>
        <v>No</v>
      </c>
      <c r="J44" s="350"/>
    </row>
    <row r="45" spans="1:11" x14ac:dyDescent="0.45">
      <c r="A45" s="99" t="s">
        <v>37</v>
      </c>
      <c r="B45" s="100" t="s">
        <v>171</v>
      </c>
      <c r="C45" s="100" t="s">
        <v>179</v>
      </c>
      <c r="D45" s="100" t="s">
        <v>177</v>
      </c>
      <c r="E45" s="101" t="s">
        <v>180</v>
      </c>
      <c r="F45" s="102" t="s">
        <v>117</v>
      </c>
      <c r="G45" s="115" t="str">
        <f>IF(Form_1040NR_2017!J15="","",Form_1040NR_2017!J15)</f>
        <v>Yes</v>
      </c>
      <c r="J45" s="350"/>
    </row>
    <row r="46" spans="1:11" x14ac:dyDescent="0.45">
      <c r="A46" s="99" t="s">
        <v>38</v>
      </c>
      <c r="B46" s="100" t="s">
        <v>176</v>
      </c>
      <c r="C46" s="100"/>
      <c r="D46" s="100" t="s">
        <v>177</v>
      </c>
      <c r="E46" s="101"/>
      <c r="F46" s="102" t="s">
        <v>116</v>
      </c>
      <c r="G46" s="115" t="str">
        <f>IF(Form_1040NR_2017!J16="","",Form_1040NR_2017!J16)</f>
        <v/>
      </c>
      <c r="J46" s="350"/>
    </row>
    <row r="47" spans="1:11" ht="28.5" x14ac:dyDescent="0.45">
      <c r="A47" s="99" t="s">
        <v>39</v>
      </c>
      <c r="B47" s="100" t="s">
        <v>171</v>
      </c>
      <c r="C47" s="100" t="s">
        <v>178</v>
      </c>
      <c r="D47" s="100" t="s">
        <v>177</v>
      </c>
      <c r="E47" s="101" t="s">
        <v>177</v>
      </c>
      <c r="F47" s="102" t="s">
        <v>118</v>
      </c>
      <c r="G47" s="115" t="str">
        <f>IF(Form_1040NR_2017!J17="","",Form_1040NR_2017!J17)</f>
        <v/>
      </c>
      <c r="J47" s="350"/>
    </row>
    <row r="48" spans="1:11" ht="28.5" x14ac:dyDescent="0.45">
      <c r="A48" s="99" t="s">
        <v>40</v>
      </c>
      <c r="B48" s="100" t="s">
        <v>171</v>
      </c>
      <c r="C48" s="100" t="s">
        <v>179</v>
      </c>
      <c r="D48" s="100" t="s">
        <v>177</v>
      </c>
      <c r="E48" s="101" t="s">
        <v>177</v>
      </c>
      <c r="F48" s="102" t="s">
        <v>119</v>
      </c>
      <c r="G48" s="115" t="str">
        <f>IF(Form_1040NR_2017!J18="","",Form_1040NR_2017!J18)</f>
        <v/>
      </c>
      <c r="J48" s="350"/>
    </row>
    <row r="49" spans="1:10" x14ac:dyDescent="0.45">
      <c r="A49" s="99" t="s">
        <v>41</v>
      </c>
      <c r="B49" s="100" t="s">
        <v>176</v>
      </c>
      <c r="C49" s="100" t="s">
        <v>181</v>
      </c>
      <c r="D49" s="100" t="s">
        <v>177</v>
      </c>
      <c r="E49" s="101" t="s">
        <v>182</v>
      </c>
      <c r="F49" s="102" t="s">
        <v>120</v>
      </c>
      <c r="G49" s="115" t="str">
        <f>IF(Form_1040NR_2017!J19="","",Form_1040NR_2017!J19)</f>
        <v/>
      </c>
      <c r="H49" s="104"/>
      <c r="I49" s="104"/>
      <c r="J49" s="350"/>
    </row>
    <row r="50" spans="1:10" x14ac:dyDescent="0.45">
      <c r="A50" s="99" t="s">
        <v>42</v>
      </c>
      <c r="B50" s="100" t="s">
        <v>176</v>
      </c>
      <c r="C50" s="100" t="s">
        <v>181</v>
      </c>
      <c r="D50" s="100" t="s">
        <v>177</v>
      </c>
      <c r="E50" s="101" t="s">
        <v>183</v>
      </c>
      <c r="F50" s="102" t="s">
        <v>121</v>
      </c>
      <c r="G50" s="115" t="str">
        <f>IF(Form_1040NR_2017!J20="","",Form_1040NR_2017!J20)</f>
        <v/>
      </c>
      <c r="H50" s="104"/>
      <c r="I50" s="104"/>
      <c r="J50" s="350"/>
    </row>
    <row r="51" spans="1:10" x14ac:dyDescent="0.45">
      <c r="A51" s="99" t="s">
        <v>157</v>
      </c>
      <c r="B51" s="100" t="s">
        <v>176</v>
      </c>
      <c r="C51" s="100" t="s">
        <v>181</v>
      </c>
      <c r="D51" s="100" t="s">
        <v>177</v>
      </c>
      <c r="E51" s="101"/>
      <c r="F51" s="102" t="s">
        <v>120</v>
      </c>
      <c r="G51" s="115" t="str">
        <f>IF(Form_1040NR_2017!J21="","",Form_1040NR_2017!J21)</f>
        <v/>
      </c>
      <c r="H51" s="104"/>
      <c r="I51" s="104"/>
      <c r="J51" s="350"/>
    </row>
    <row r="52" spans="1:10" x14ac:dyDescent="0.45">
      <c r="A52" s="99" t="s">
        <v>158</v>
      </c>
      <c r="B52" s="100" t="s">
        <v>176</v>
      </c>
      <c r="C52" s="100" t="s">
        <v>181</v>
      </c>
      <c r="D52" s="100" t="s">
        <v>177</v>
      </c>
      <c r="E52" s="101"/>
      <c r="F52" s="102" t="s">
        <v>121</v>
      </c>
      <c r="G52" s="115" t="str">
        <f>IF(Form_1040NR_2017!J22="","",Form_1040NR_2017!J22)</f>
        <v/>
      </c>
      <c r="H52" s="104"/>
      <c r="I52" s="104"/>
      <c r="J52" s="350"/>
    </row>
    <row r="53" spans="1:10" x14ac:dyDescent="0.45">
      <c r="A53" s="99" t="s">
        <v>159</v>
      </c>
      <c r="B53" s="100" t="s">
        <v>176</v>
      </c>
      <c r="C53" s="100" t="s">
        <v>181</v>
      </c>
      <c r="D53" s="100" t="s">
        <v>177</v>
      </c>
      <c r="E53" s="101"/>
      <c r="F53" s="102" t="s">
        <v>120</v>
      </c>
      <c r="G53" s="115" t="str">
        <f>IF(Form_1040NR_2017!J23="","",Form_1040NR_2017!J23)</f>
        <v/>
      </c>
      <c r="H53" s="104"/>
      <c r="I53" s="104"/>
      <c r="J53" s="350"/>
    </row>
    <row r="54" spans="1:10" x14ac:dyDescent="0.45">
      <c r="A54" s="99" t="s">
        <v>160</v>
      </c>
      <c r="B54" s="100" t="s">
        <v>176</v>
      </c>
      <c r="C54" s="100" t="s">
        <v>181</v>
      </c>
      <c r="D54" s="100" t="s">
        <v>177</v>
      </c>
      <c r="E54" s="101"/>
      <c r="F54" s="102" t="s">
        <v>121</v>
      </c>
      <c r="G54" s="115" t="str">
        <f>IF(Form_1040NR_2017!J24="","",Form_1040NR_2017!J24)</f>
        <v/>
      </c>
      <c r="H54" s="104"/>
      <c r="I54" s="104"/>
      <c r="J54" s="350"/>
    </row>
    <row r="55" spans="1:10" x14ac:dyDescent="0.45">
      <c r="A55" s="99" t="s">
        <v>364</v>
      </c>
      <c r="B55" s="100" t="s">
        <v>176</v>
      </c>
      <c r="C55" s="100" t="s">
        <v>181</v>
      </c>
      <c r="D55" s="100" t="s">
        <v>177</v>
      </c>
      <c r="E55" s="101"/>
      <c r="F55" s="102" t="s">
        <v>120</v>
      </c>
      <c r="G55" s="115" t="str">
        <f>IF(Form_1040NR_2017!J25="","",Form_1040NR_2017!J25)</f>
        <v/>
      </c>
      <c r="H55" s="104"/>
      <c r="I55" s="104"/>
      <c r="J55" s="350"/>
    </row>
    <row r="56" spans="1:10" x14ac:dyDescent="0.45">
      <c r="A56" s="99" t="s">
        <v>365</v>
      </c>
      <c r="B56" s="100" t="s">
        <v>176</v>
      </c>
      <c r="C56" s="100" t="s">
        <v>181</v>
      </c>
      <c r="D56" s="100" t="s">
        <v>177</v>
      </c>
      <c r="E56" s="101"/>
      <c r="F56" s="102" t="s">
        <v>121</v>
      </c>
      <c r="G56" s="115" t="str">
        <f>IF(Form_1040NR_2017!J26="","",Form_1040NR_2017!J26)</f>
        <v/>
      </c>
      <c r="H56" s="104"/>
      <c r="I56" s="104"/>
      <c r="J56" s="350"/>
    </row>
    <row r="57" spans="1:10" ht="28.5" x14ac:dyDescent="0.45">
      <c r="A57" s="99" t="s">
        <v>402</v>
      </c>
      <c r="B57" s="100" t="s">
        <v>176</v>
      </c>
      <c r="C57" s="100" t="s">
        <v>181</v>
      </c>
      <c r="D57" s="100" t="s">
        <v>177</v>
      </c>
      <c r="E57" s="101"/>
      <c r="F57" s="102" t="s">
        <v>122</v>
      </c>
      <c r="G57" s="115" t="str">
        <f>IF(Form_1040NR_2017!J27="","",Form_1040NR_2017!J27)</f>
        <v/>
      </c>
      <c r="H57" s="104"/>
      <c r="I57" s="104"/>
      <c r="J57" s="350"/>
    </row>
    <row r="58" spans="1:10" ht="28.5" x14ac:dyDescent="0.45">
      <c r="A58" s="99" t="s">
        <v>403</v>
      </c>
      <c r="B58" s="100" t="s">
        <v>176</v>
      </c>
      <c r="C58" s="100" t="s">
        <v>181</v>
      </c>
      <c r="D58" s="100" t="s">
        <v>177</v>
      </c>
      <c r="E58" s="101"/>
      <c r="F58" s="102" t="s">
        <v>122</v>
      </c>
      <c r="G58" s="115" t="str">
        <f>IF(Form_1040NR_2017!J28="","",Form_1040NR_2017!J28)</f>
        <v/>
      </c>
      <c r="H58" s="104"/>
      <c r="I58" s="104"/>
      <c r="J58" s="350"/>
    </row>
    <row r="59" spans="1:10" ht="28.5" x14ac:dyDescent="0.45">
      <c r="A59" s="99" t="s">
        <v>404</v>
      </c>
      <c r="B59" s="100" t="s">
        <v>176</v>
      </c>
      <c r="C59" s="100" t="s">
        <v>181</v>
      </c>
      <c r="D59" s="100" t="s">
        <v>177</v>
      </c>
      <c r="E59" s="101"/>
      <c r="F59" s="102" t="s">
        <v>122</v>
      </c>
      <c r="G59" s="115" t="str">
        <f>IF(Form_1040NR_2017!J29="","",Form_1040NR_2017!J29)</f>
        <v/>
      </c>
      <c r="H59" s="104"/>
      <c r="I59" s="104"/>
      <c r="J59" s="350"/>
    </row>
    <row r="60" spans="1:10" x14ac:dyDescent="0.45">
      <c r="A60" s="99" t="s">
        <v>43</v>
      </c>
      <c r="B60" s="100" t="s">
        <v>171</v>
      </c>
      <c r="C60" s="100" t="s">
        <v>178</v>
      </c>
      <c r="D60" s="100" t="s">
        <v>177</v>
      </c>
      <c r="E60" s="101" t="s">
        <v>177</v>
      </c>
      <c r="F60" s="102" t="s">
        <v>123</v>
      </c>
      <c r="G60" s="298" t="str">
        <f>IF(Form_1040NR_2017!J30="","",Form_1040NR_2017!J30)</f>
        <v>No</v>
      </c>
      <c r="H60" s="104"/>
      <c r="I60" s="104"/>
      <c r="J60" s="350"/>
    </row>
    <row r="61" spans="1:10" x14ac:dyDescent="0.45">
      <c r="A61" s="99" t="s">
        <v>44</v>
      </c>
      <c r="B61" s="100" t="s">
        <v>171</v>
      </c>
      <c r="C61" s="100" t="s">
        <v>179</v>
      </c>
      <c r="D61" s="100" t="s">
        <v>177</v>
      </c>
      <c r="E61" s="101" t="s">
        <v>180</v>
      </c>
      <c r="F61" s="102" t="s">
        <v>124</v>
      </c>
      <c r="G61" s="298" t="str">
        <f>IF(Form_1040NR_2017!J31="","",Form_1040NR_2017!J31)</f>
        <v>Yes</v>
      </c>
      <c r="H61" s="104"/>
      <c r="I61" s="104"/>
      <c r="J61" s="350"/>
    </row>
    <row r="62" spans="1:10" x14ac:dyDescent="0.45">
      <c r="A62" s="99" t="s">
        <v>45</v>
      </c>
      <c r="B62" s="100" t="s">
        <v>176</v>
      </c>
      <c r="C62" s="100"/>
      <c r="D62" s="100" t="s">
        <v>177</v>
      </c>
      <c r="E62" s="101" t="s">
        <v>184</v>
      </c>
      <c r="F62" s="102" t="s">
        <v>125</v>
      </c>
      <c r="G62" s="298" t="str">
        <f>IF(Form_1040NR_2017!J32="","",Form_1040NR_2017!J32)</f>
        <v/>
      </c>
      <c r="H62" s="104"/>
      <c r="I62" s="104"/>
      <c r="J62" s="350"/>
    </row>
    <row r="63" spans="1:10" x14ac:dyDescent="0.45">
      <c r="A63" s="99" t="s">
        <v>46</v>
      </c>
      <c r="B63" s="100" t="s">
        <v>171</v>
      </c>
      <c r="C63" s="100" t="s">
        <v>178</v>
      </c>
      <c r="D63" s="100" t="s">
        <v>177</v>
      </c>
      <c r="E63" s="101" t="s">
        <v>177</v>
      </c>
      <c r="F63" s="102" t="s">
        <v>126</v>
      </c>
      <c r="G63" s="298" t="str">
        <f>IF(Form_1040NR_2017!J33="","",Form_1040NR_2017!J33)</f>
        <v>No</v>
      </c>
      <c r="H63" s="104"/>
      <c r="I63" s="104"/>
      <c r="J63" s="350"/>
    </row>
    <row r="64" spans="1:10" x14ac:dyDescent="0.45">
      <c r="A64" s="99" t="s">
        <v>47</v>
      </c>
      <c r="B64" s="100" t="s">
        <v>171</v>
      </c>
      <c r="C64" s="100" t="s">
        <v>179</v>
      </c>
      <c r="D64" s="100" t="s">
        <v>177</v>
      </c>
      <c r="E64" s="101" t="s">
        <v>180</v>
      </c>
      <c r="F64" s="102" t="s">
        <v>127</v>
      </c>
      <c r="G64" s="298" t="str">
        <f>IF(Form_1040NR_2017!J34="","",Form_1040NR_2017!J34)</f>
        <v>Yes</v>
      </c>
      <c r="H64" s="104"/>
      <c r="I64" s="104"/>
      <c r="J64" s="350"/>
    </row>
    <row r="65" spans="1:10" ht="28.5" x14ac:dyDescent="0.45">
      <c r="A65" s="99" t="s">
        <v>48</v>
      </c>
      <c r="B65" s="100" t="s">
        <v>171</v>
      </c>
      <c r="C65" s="100" t="s">
        <v>178</v>
      </c>
      <c r="D65" s="100" t="s">
        <v>177</v>
      </c>
      <c r="E65" s="101" t="s">
        <v>177</v>
      </c>
      <c r="F65" s="102" t="s">
        <v>128</v>
      </c>
      <c r="G65" s="355" t="str">
        <f>IF(G63="No","No",IF(Form_1040NR_2017!J35="","",Form_1040NR_2017!J35))</f>
        <v>No</v>
      </c>
      <c r="J65" s="350"/>
    </row>
    <row r="66" spans="1:10" ht="28.5" x14ac:dyDescent="0.45">
      <c r="A66" s="99" t="s">
        <v>49</v>
      </c>
      <c r="B66" s="100" t="s">
        <v>171</v>
      </c>
      <c r="C66" s="100" t="s">
        <v>179</v>
      </c>
      <c r="D66" s="100" t="s">
        <v>177</v>
      </c>
      <c r="E66" s="101" t="s">
        <v>180</v>
      </c>
      <c r="F66" s="102" t="s">
        <v>128</v>
      </c>
      <c r="G66" s="355" t="str">
        <f>IF(G63="No","No",IF(Form_1040NR_2017!J36="","",Form_1040NR_2017!J36))</f>
        <v>No</v>
      </c>
      <c r="J66" s="350"/>
    </row>
    <row r="67" spans="1:10" x14ac:dyDescent="0.45">
      <c r="A67" s="99" t="s">
        <v>50</v>
      </c>
      <c r="B67" s="100" t="s">
        <v>171</v>
      </c>
      <c r="C67" s="100" t="s">
        <v>178</v>
      </c>
      <c r="D67" s="100" t="s">
        <v>177</v>
      </c>
      <c r="E67" s="101" t="s">
        <v>177</v>
      </c>
      <c r="F67" s="102" t="s">
        <v>129</v>
      </c>
      <c r="G67" s="298" t="str">
        <f>IF(Form_1040NR_2017!J37="","",Form_1040NR_2017!J37)</f>
        <v>No</v>
      </c>
    </row>
    <row r="68" spans="1:10" x14ac:dyDescent="0.45">
      <c r="A68" s="99" t="s">
        <v>51</v>
      </c>
      <c r="B68" s="100" t="s">
        <v>171</v>
      </c>
      <c r="C68" s="100" t="s">
        <v>179</v>
      </c>
      <c r="D68" s="100" t="s">
        <v>177</v>
      </c>
      <c r="E68" s="101" t="s">
        <v>180</v>
      </c>
      <c r="F68" s="102" t="s">
        <v>130</v>
      </c>
      <c r="G68" s="298" t="str">
        <f>IF(Form_1040NR_2017!J38="","",Form_1040NR_2017!J38)</f>
        <v>Yes</v>
      </c>
    </row>
    <row r="69" spans="1:10" x14ac:dyDescent="0.45">
      <c r="A69" s="99" t="s">
        <v>52</v>
      </c>
      <c r="B69" s="100" t="s">
        <v>171</v>
      </c>
      <c r="C69" s="100" t="s">
        <v>178</v>
      </c>
      <c r="D69" s="100" t="s">
        <v>177</v>
      </c>
      <c r="E69" s="101" t="s">
        <v>177</v>
      </c>
      <c r="F69" s="102" t="s">
        <v>131</v>
      </c>
      <c r="G69" s="355" t="str">
        <f>IF(G67="No","No",IF(Form_1040NR_2017!J39="","",Form_1040NR_2017!J39))</f>
        <v>No</v>
      </c>
    </row>
    <row r="70" spans="1:10" x14ac:dyDescent="0.45">
      <c r="A70" s="99" t="s">
        <v>53</v>
      </c>
      <c r="B70" s="100" t="s">
        <v>171</v>
      </c>
      <c r="C70" s="100" t="s">
        <v>179</v>
      </c>
      <c r="D70" s="100" t="s">
        <v>177</v>
      </c>
      <c r="E70" s="101" t="s">
        <v>180</v>
      </c>
      <c r="F70" s="102" t="s">
        <v>132</v>
      </c>
      <c r="G70" s="355" t="str">
        <f>IF(G67="No","No",IF(Form_1040NR_2017!J40="","",Form_1040NR_2017!J40))</f>
        <v>No</v>
      </c>
    </row>
    <row r="71" spans="1:10" x14ac:dyDescent="0.45">
      <c r="A71" s="99" t="s">
        <v>0</v>
      </c>
      <c r="B71" s="100" t="s">
        <v>176</v>
      </c>
      <c r="C71" s="100"/>
      <c r="D71" s="100" t="s">
        <v>177</v>
      </c>
      <c r="E71" s="101" t="s">
        <v>172</v>
      </c>
      <c r="F71" s="102" t="s">
        <v>133</v>
      </c>
      <c r="G71" s="205" t="str">
        <f>UPPER(General!C20)</f>
        <v/>
      </c>
    </row>
    <row r="72" spans="1:10" x14ac:dyDescent="0.45">
      <c r="A72" s="95" t="s">
        <v>1</v>
      </c>
      <c r="B72" s="89" t="s">
        <v>176</v>
      </c>
      <c r="C72" s="89"/>
      <c r="D72" s="89" t="s">
        <v>177</v>
      </c>
      <c r="E72" s="96" t="s">
        <v>189</v>
      </c>
      <c r="F72" s="97" t="s">
        <v>134</v>
      </c>
      <c r="G72" s="88">
        <f>VLOOKUP(E71,Lists!L3:M24,2,FALSE)</f>
        <v>11</v>
      </c>
      <c r="H72" s="89"/>
      <c r="I72" s="89"/>
    </row>
    <row r="73" spans="1:10" s="193" customFormat="1" x14ac:dyDescent="0.45">
      <c r="A73" s="295" t="s">
        <v>2</v>
      </c>
      <c r="B73" s="294" t="s">
        <v>176</v>
      </c>
      <c r="C73" s="294"/>
      <c r="D73" s="294" t="s">
        <v>177</v>
      </c>
      <c r="E73" s="296" t="s">
        <v>190</v>
      </c>
      <c r="F73" s="297" t="s">
        <v>135</v>
      </c>
      <c r="G73" s="293" t="s">
        <v>423</v>
      </c>
      <c r="H73" s="294" t="s">
        <v>362</v>
      </c>
      <c r="I73" s="294" t="s">
        <v>363</v>
      </c>
      <c r="J73" s="347"/>
    </row>
    <row r="74" spans="1:10" x14ac:dyDescent="0.45">
      <c r="A74" s="95" t="s">
        <v>3</v>
      </c>
      <c r="B74" s="89" t="s">
        <v>176</v>
      </c>
      <c r="C74" s="89"/>
      <c r="D74" s="89" t="s">
        <v>177</v>
      </c>
      <c r="E74" s="96" t="s">
        <v>191</v>
      </c>
      <c r="F74" s="97" t="s">
        <v>136</v>
      </c>
      <c r="G74" s="166" t="str">
        <f>$G$18 &amp; "." &amp; $G$19</f>
        <v>0.0</v>
      </c>
      <c r="H74" s="89" t="s">
        <v>362</v>
      </c>
      <c r="I74" s="89" t="s">
        <v>363</v>
      </c>
    </row>
    <row r="75" spans="1:10" x14ac:dyDescent="0.45">
      <c r="A75" s="95" t="s">
        <v>4</v>
      </c>
      <c r="B75" s="89" t="s">
        <v>176</v>
      </c>
      <c r="C75" s="89"/>
      <c r="D75" s="89" t="s">
        <v>177</v>
      </c>
      <c r="E75" s="96" t="s">
        <v>191</v>
      </c>
      <c r="F75" s="97" t="s">
        <v>137</v>
      </c>
      <c r="G75" s="166" t="str">
        <f>$G$18 &amp; "." &amp; $G$19</f>
        <v>0.0</v>
      </c>
      <c r="H75" s="89" t="s">
        <v>362</v>
      </c>
      <c r="I75" s="89" t="s">
        <v>363</v>
      </c>
    </row>
    <row r="76" spans="1:10" x14ac:dyDescent="0.45">
      <c r="A76" s="99" t="s">
        <v>54</v>
      </c>
      <c r="B76" s="100" t="s">
        <v>171</v>
      </c>
      <c r="C76" s="100" t="s">
        <v>178</v>
      </c>
      <c r="D76" s="100" t="s">
        <v>177</v>
      </c>
      <c r="E76" s="101" t="s">
        <v>177</v>
      </c>
      <c r="F76" s="102" t="s">
        <v>138</v>
      </c>
      <c r="G76" s="298" t="str">
        <f>IF(Form_1040NR_2017!J41="","",Form_1040NR_2017!J41)</f>
        <v>No</v>
      </c>
      <c r="J76" s="347" t="str">
        <f>Form_1040NR_2017!F31</f>
        <v xml:space="preserve"> 2.  Were you subject to tax in a foreign country on any of the income shown in 1(d) above?</v>
      </c>
    </row>
    <row r="77" spans="1:10" x14ac:dyDescent="0.45">
      <c r="A77" s="99" t="s">
        <v>55</v>
      </c>
      <c r="B77" s="100" t="s">
        <v>171</v>
      </c>
      <c r="C77" s="100" t="s">
        <v>179</v>
      </c>
      <c r="D77" s="100" t="s">
        <v>177</v>
      </c>
      <c r="E77" s="101" t="s">
        <v>180</v>
      </c>
      <c r="F77" s="102" t="s">
        <v>138</v>
      </c>
      <c r="G77" s="298" t="str">
        <f>IF(Form_1040NR_2017!J42="","",Form_1040NR_2017!J42)</f>
        <v>Yes</v>
      </c>
    </row>
    <row r="78" spans="1:10" x14ac:dyDescent="0.45">
      <c r="A78" s="99" t="s">
        <v>56</v>
      </c>
      <c r="B78" s="100" t="s">
        <v>171</v>
      </c>
      <c r="C78" s="100" t="s">
        <v>178</v>
      </c>
      <c r="D78" s="100" t="s">
        <v>177</v>
      </c>
      <c r="E78" s="101" t="s">
        <v>177</v>
      </c>
      <c r="F78" s="102" t="s">
        <v>139</v>
      </c>
      <c r="G78" s="298" t="str">
        <f>IF(Form_1040NR_2017!J43="","",Form_1040NR_2017!J43)</f>
        <v>No</v>
      </c>
      <c r="J78" s="347" t="str">
        <f>Form_1040NR_2017!F32</f>
        <v xml:space="preserve"> 3.  Are you claiming treaty benefits pursuant to a Competent Authority determination?</v>
      </c>
    </row>
    <row r="79" spans="1:10" x14ac:dyDescent="0.45">
      <c r="A79" s="99" t="s">
        <v>57</v>
      </c>
      <c r="B79" s="100" t="s">
        <v>171</v>
      </c>
      <c r="C79" s="100" t="s">
        <v>179</v>
      </c>
      <c r="D79" s="100" t="s">
        <v>177</v>
      </c>
      <c r="E79" s="101" t="s">
        <v>180</v>
      </c>
      <c r="F79" s="102" t="s">
        <v>139</v>
      </c>
      <c r="G79" s="298" t="str">
        <f>IF(Form_1040NR_2017!J44="","",Form_1040NR_2017!J44)</f>
        <v>Yes</v>
      </c>
    </row>
    <row r="80" spans="1:10" x14ac:dyDescent="0.45">
      <c r="A80" s="164" t="s">
        <v>394</v>
      </c>
      <c r="G80" s="298" t="str">
        <f>IF(Form_1040NR_2017!J45="","",Form_1040NR_2017!J45)</f>
        <v/>
      </c>
      <c r="H80" s="104"/>
      <c r="I80" s="104"/>
    </row>
    <row r="81" spans="1:9" x14ac:dyDescent="0.45">
      <c r="A81" s="164" t="s">
        <v>395</v>
      </c>
      <c r="G81" s="298" t="str">
        <f>IF(Form_1040NR_2018!J46="","",Form_1040NR_2018!J46)</f>
        <v/>
      </c>
      <c r="H81" s="104"/>
      <c r="I81" s="104"/>
    </row>
    <row r="82" spans="1:9" x14ac:dyDescent="0.45">
      <c r="A82" s="164" t="s">
        <v>396</v>
      </c>
      <c r="H82" s="104"/>
      <c r="I82" s="104"/>
    </row>
    <row r="83" spans="1:9" x14ac:dyDescent="0.45">
      <c r="A83" s="164" t="s">
        <v>331</v>
      </c>
    </row>
    <row r="84" spans="1:9" x14ac:dyDescent="0.45">
      <c r="A84" s="164" t="s">
        <v>335</v>
      </c>
    </row>
  </sheetData>
  <sheetProtection password="DA43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F0"/>
  </sheetPr>
  <dimension ref="A1:P175"/>
  <sheetViews>
    <sheetView showGridLines="0" showRowColHeaders="0" topLeftCell="A3" workbookViewId="0">
      <selection activeCell="A3" sqref="A3"/>
    </sheetView>
  </sheetViews>
  <sheetFormatPr defaultRowHeight="14.25" x14ac:dyDescent="0.45"/>
  <cols>
    <col min="1" max="1" width="1.86328125" style="167" customWidth="1"/>
    <col min="2" max="2" width="6.53125" style="170" customWidth="1"/>
    <col min="3" max="3" width="12.796875" style="206" customWidth="1"/>
    <col min="4" max="4" width="9.796875" style="207" customWidth="1"/>
    <col min="5" max="5" width="0.3984375" style="207" hidden="1" customWidth="1"/>
    <col min="6" max="6" width="15.46484375" style="207" customWidth="1"/>
    <col min="7" max="7" width="21.6640625" style="167" customWidth="1"/>
    <col min="8" max="8" width="10.9296875" style="168" customWidth="1"/>
    <col min="9" max="9" width="17.33203125" style="168" customWidth="1"/>
    <col min="10" max="10" width="28.86328125" style="167" customWidth="1"/>
    <col min="11" max="11" width="24.19921875" style="167" customWidth="1"/>
    <col min="12" max="12" width="20.3984375" style="167" customWidth="1"/>
    <col min="13" max="13" width="20.265625" style="167" customWidth="1"/>
    <col min="14" max="14" width="22.1328125" style="167" customWidth="1"/>
    <col min="15" max="15" width="13.19921875" style="167" customWidth="1"/>
    <col min="16" max="16384" width="9.06640625" style="167"/>
  </cols>
  <sheetData>
    <row r="1" spans="1:16" hidden="1" x14ac:dyDescent="0.45">
      <c r="A1" s="175"/>
      <c r="B1" s="172"/>
      <c r="C1" s="209"/>
      <c r="D1" s="222"/>
      <c r="E1" s="222"/>
      <c r="F1" s="225" t="s">
        <v>390</v>
      </c>
      <c r="G1" s="226">
        <v>0.9</v>
      </c>
      <c r="H1" s="210"/>
      <c r="I1" s="210"/>
      <c r="J1" s="175"/>
      <c r="K1" s="175"/>
      <c r="L1" s="175"/>
      <c r="M1" s="175"/>
      <c r="N1" s="175"/>
      <c r="O1" s="175"/>
      <c r="P1" s="175"/>
    </row>
    <row r="2" spans="1:16" hidden="1" x14ac:dyDescent="0.45">
      <c r="A2" s="175"/>
      <c r="B2" s="172"/>
      <c r="C2" s="209"/>
      <c r="D2" s="227"/>
      <c r="E2" s="227"/>
      <c r="F2" s="227">
        <f>SUM(F7:F30)</f>
        <v>0</v>
      </c>
      <c r="G2" s="228">
        <f>F2*G1</f>
        <v>0</v>
      </c>
      <c r="H2" s="210"/>
      <c r="I2" s="210"/>
      <c r="J2" s="175"/>
      <c r="K2" s="175"/>
      <c r="L2" s="175"/>
      <c r="M2" s="175"/>
      <c r="N2" s="175"/>
      <c r="O2" s="175"/>
      <c r="P2" s="175"/>
    </row>
    <row r="3" spans="1:16" s="169" customFormat="1" ht="32.25" customHeight="1" x14ac:dyDescent="0.45">
      <c r="A3" s="171"/>
      <c r="B3" s="299">
        <v>2016</v>
      </c>
      <c r="C3" s="240" t="s">
        <v>393</v>
      </c>
      <c r="D3" s="227"/>
      <c r="E3" s="227"/>
      <c r="F3" s="227"/>
      <c r="G3" s="227"/>
      <c r="H3" s="173"/>
      <c r="I3" s="173"/>
      <c r="J3" s="171"/>
      <c r="K3" s="171"/>
      <c r="L3" s="171"/>
      <c r="M3" s="171"/>
      <c r="N3" s="171"/>
      <c r="O3" s="171"/>
      <c r="P3" s="171"/>
    </row>
    <row r="4" spans="1:16" s="169" customFormat="1" ht="14.65" thickBot="1" x14ac:dyDescent="0.5">
      <c r="A4" s="171"/>
      <c r="B4" s="172"/>
      <c r="C4" s="220"/>
      <c r="D4" s="222"/>
      <c r="E4" s="222"/>
      <c r="F4" s="222"/>
      <c r="G4" s="171"/>
      <c r="H4" s="173"/>
      <c r="I4" s="173"/>
      <c r="J4" s="171"/>
      <c r="K4" s="171"/>
      <c r="L4" s="171"/>
      <c r="M4" s="171"/>
      <c r="N4" s="171"/>
      <c r="O4" s="171"/>
      <c r="P4" s="171"/>
    </row>
    <row r="5" spans="1:16" s="170" customFormat="1" ht="14.65" thickTop="1" x14ac:dyDescent="0.45">
      <c r="A5" s="172"/>
      <c r="B5" s="211"/>
      <c r="C5" s="212" t="s">
        <v>371</v>
      </c>
      <c r="D5" s="213" t="s">
        <v>379</v>
      </c>
      <c r="E5" s="213" t="s">
        <v>391</v>
      </c>
      <c r="F5" s="213" t="s">
        <v>390</v>
      </c>
      <c r="G5" s="214" t="s">
        <v>372</v>
      </c>
      <c r="H5" s="214" t="s">
        <v>373</v>
      </c>
      <c r="I5" s="214" t="s">
        <v>374</v>
      </c>
      <c r="J5" s="214" t="s">
        <v>375</v>
      </c>
      <c r="K5" s="214" t="s">
        <v>388</v>
      </c>
      <c r="L5" s="214" t="s">
        <v>389</v>
      </c>
      <c r="M5" s="214" t="s">
        <v>378</v>
      </c>
      <c r="N5" s="214" t="s">
        <v>377</v>
      </c>
      <c r="O5" s="215" t="s">
        <v>376</v>
      </c>
      <c r="P5" s="172"/>
    </row>
    <row r="6" spans="1:16" s="208" customFormat="1" ht="14.65" thickBot="1" x14ac:dyDescent="0.5">
      <c r="A6" s="172"/>
      <c r="B6" s="231" t="s">
        <v>166</v>
      </c>
      <c r="C6" s="232">
        <v>24590.78</v>
      </c>
      <c r="D6" s="233" t="s">
        <v>380</v>
      </c>
      <c r="E6" s="234">
        <v>1.6244000000000001</v>
      </c>
      <c r="F6" s="235" t="s">
        <v>392</v>
      </c>
      <c r="G6" s="236" t="s">
        <v>381</v>
      </c>
      <c r="H6" s="237">
        <v>74456</v>
      </c>
      <c r="I6" s="237">
        <v>56745667</v>
      </c>
      <c r="J6" s="236" t="s">
        <v>382</v>
      </c>
      <c r="K6" s="236" t="s">
        <v>386</v>
      </c>
      <c r="L6" s="236" t="s">
        <v>387</v>
      </c>
      <c r="M6" s="236" t="s">
        <v>383</v>
      </c>
      <c r="N6" s="236" t="s">
        <v>384</v>
      </c>
      <c r="O6" s="238" t="s">
        <v>385</v>
      </c>
      <c r="P6" s="216"/>
    </row>
    <row r="7" spans="1:16" s="169" customFormat="1" ht="17.75" customHeight="1" thickTop="1" x14ac:dyDescent="0.45">
      <c r="A7" s="172"/>
      <c r="B7" s="211">
        <v>1</v>
      </c>
      <c r="C7" s="250"/>
      <c r="D7" s="251"/>
      <c r="E7" s="279" t="str">
        <f>IF(C7="","",VLOOKUP($B$3,Exchange_Rates!$A$2:$B$19,2,FALSE))</f>
        <v/>
      </c>
      <c r="F7" s="243" t="str">
        <f>IF(C7="","",C7*E7)</f>
        <v/>
      </c>
      <c r="G7" s="291"/>
      <c r="H7" s="290"/>
      <c r="I7" s="290"/>
      <c r="J7" s="291"/>
      <c r="K7" s="291"/>
      <c r="L7" s="291"/>
      <c r="M7" s="291"/>
      <c r="N7" s="291"/>
      <c r="O7" s="289"/>
      <c r="P7" s="171"/>
    </row>
    <row r="8" spans="1:16" s="169" customFormat="1" ht="17.75" customHeight="1" x14ac:dyDescent="0.45">
      <c r="A8" s="171"/>
      <c r="B8" s="217">
        <v>2</v>
      </c>
      <c r="C8" s="245"/>
      <c r="D8" s="246"/>
      <c r="E8" s="280" t="str">
        <f>IF(C8="","",VLOOKUP($B$3,Exchange_Rates!$A$2:$B$19,2,FALSE))</f>
        <v/>
      </c>
      <c r="F8" s="244" t="str">
        <f>IF(C8="","",C8*E8)</f>
        <v/>
      </c>
      <c r="G8" s="288"/>
      <c r="H8" s="287"/>
      <c r="I8" s="287"/>
      <c r="J8" s="288"/>
      <c r="K8" s="288"/>
      <c r="L8" s="288"/>
      <c r="M8" s="288"/>
      <c r="N8" s="288"/>
      <c r="O8" s="286"/>
      <c r="P8" s="171"/>
    </row>
    <row r="9" spans="1:16" s="169" customFormat="1" ht="17.75" customHeight="1" x14ac:dyDescent="0.45">
      <c r="A9" s="171"/>
      <c r="B9" s="217">
        <v>3</v>
      </c>
      <c r="C9" s="245"/>
      <c r="D9" s="246"/>
      <c r="E9" s="280" t="str">
        <f>IF(C9="","",VLOOKUP($B$3,Exchange_Rates!$A$2:$B$19,2,FALSE))</f>
        <v/>
      </c>
      <c r="F9" s="244" t="str">
        <f t="shared" ref="F9:F25" si="0">IF(C9="","",C9*E9)</f>
        <v/>
      </c>
      <c r="G9" s="288"/>
      <c r="H9" s="287"/>
      <c r="I9" s="287"/>
      <c r="J9" s="288"/>
      <c r="K9" s="288"/>
      <c r="L9" s="288"/>
      <c r="M9" s="288"/>
      <c r="N9" s="288"/>
      <c r="O9" s="286"/>
      <c r="P9" s="171"/>
    </row>
    <row r="10" spans="1:16" s="169" customFormat="1" ht="17.75" customHeight="1" x14ac:dyDescent="0.45">
      <c r="A10" s="171"/>
      <c r="B10" s="217">
        <v>4</v>
      </c>
      <c r="C10" s="245"/>
      <c r="D10" s="246"/>
      <c r="E10" s="280" t="str">
        <f>IF(C10="","",VLOOKUP($B$3,Exchange_Rates!$A$2:$B$19,2,FALSE))</f>
        <v/>
      </c>
      <c r="F10" s="244" t="str">
        <f t="shared" si="0"/>
        <v/>
      </c>
      <c r="G10" s="288"/>
      <c r="H10" s="287"/>
      <c r="I10" s="287"/>
      <c r="J10" s="288"/>
      <c r="K10" s="288"/>
      <c r="L10" s="288"/>
      <c r="M10" s="288"/>
      <c r="N10" s="288"/>
      <c r="O10" s="286"/>
      <c r="P10" s="171"/>
    </row>
    <row r="11" spans="1:16" s="169" customFormat="1" ht="17.75" customHeight="1" x14ac:dyDescent="0.45">
      <c r="A11" s="171"/>
      <c r="B11" s="217">
        <v>5</v>
      </c>
      <c r="C11" s="245"/>
      <c r="D11" s="246"/>
      <c r="E11" s="280" t="str">
        <f>IF(C11="","",VLOOKUP($B$3,Exchange_Rates!$A$2:$B$19,2,FALSE))</f>
        <v/>
      </c>
      <c r="F11" s="244" t="str">
        <f t="shared" si="0"/>
        <v/>
      </c>
      <c r="G11" s="288"/>
      <c r="H11" s="287"/>
      <c r="I11" s="287"/>
      <c r="J11" s="288"/>
      <c r="K11" s="288"/>
      <c r="L11" s="288"/>
      <c r="M11" s="288"/>
      <c r="N11" s="288"/>
      <c r="O11" s="286"/>
      <c r="P11" s="171"/>
    </row>
    <row r="12" spans="1:16" s="169" customFormat="1" ht="17.75" customHeight="1" x14ac:dyDescent="0.45">
      <c r="A12" s="171"/>
      <c r="B12" s="217">
        <v>6</v>
      </c>
      <c r="C12" s="245"/>
      <c r="D12" s="246"/>
      <c r="E12" s="280" t="str">
        <f>IF(C12="","",VLOOKUP($B$3,Exchange_Rates!$A$2:$B$19,2,FALSE))</f>
        <v/>
      </c>
      <c r="F12" s="244" t="str">
        <f t="shared" si="0"/>
        <v/>
      </c>
      <c r="G12" s="288"/>
      <c r="H12" s="287"/>
      <c r="I12" s="287"/>
      <c r="J12" s="288"/>
      <c r="K12" s="288"/>
      <c r="L12" s="288"/>
      <c r="M12" s="288"/>
      <c r="N12" s="288"/>
      <c r="O12" s="286"/>
      <c r="P12" s="171"/>
    </row>
    <row r="13" spans="1:16" s="169" customFormat="1" ht="17.75" customHeight="1" x14ac:dyDescent="0.45">
      <c r="A13" s="171"/>
      <c r="B13" s="217">
        <v>7</v>
      </c>
      <c r="C13" s="245"/>
      <c r="D13" s="246"/>
      <c r="E13" s="280" t="str">
        <f>IF(C13="","",VLOOKUP($B$3,Exchange_Rates!$A$2:$B$19,2,FALSE))</f>
        <v/>
      </c>
      <c r="F13" s="244" t="str">
        <f t="shared" si="0"/>
        <v/>
      </c>
      <c r="G13" s="288"/>
      <c r="H13" s="287"/>
      <c r="I13" s="287"/>
      <c r="J13" s="288"/>
      <c r="K13" s="288"/>
      <c r="L13" s="288"/>
      <c r="M13" s="288"/>
      <c r="N13" s="288"/>
      <c r="O13" s="286"/>
      <c r="P13" s="171"/>
    </row>
    <row r="14" spans="1:16" s="169" customFormat="1" ht="17.75" customHeight="1" x14ac:dyDescent="0.45">
      <c r="A14" s="171"/>
      <c r="B14" s="217">
        <v>8</v>
      </c>
      <c r="C14" s="245"/>
      <c r="D14" s="246"/>
      <c r="E14" s="280" t="str">
        <f>IF(C14="","",VLOOKUP($B$3,Exchange_Rates!$A$2:$B$19,2,FALSE))</f>
        <v/>
      </c>
      <c r="F14" s="244" t="str">
        <f t="shared" si="0"/>
        <v/>
      </c>
      <c r="G14" s="288"/>
      <c r="H14" s="287"/>
      <c r="I14" s="287"/>
      <c r="J14" s="288"/>
      <c r="K14" s="288"/>
      <c r="L14" s="288"/>
      <c r="M14" s="288"/>
      <c r="N14" s="288"/>
      <c r="O14" s="286"/>
      <c r="P14" s="171"/>
    </row>
    <row r="15" spans="1:16" s="169" customFormat="1" ht="17.75" customHeight="1" x14ac:dyDescent="0.45">
      <c r="A15" s="171"/>
      <c r="B15" s="217">
        <v>9</v>
      </c>
      <c r="C15" s="245"/>
      <c r="D15" s="246"/>
      <c r="E15" s="280" t="str">
        <f>IF(C15="","",VLOOKUP($B$3,Exchange_Rates!$A$2:$B$19,2,FALSE))</f>
        <v/>
      </c>
      <c r="F15" s="244" t="str">
        <f t="shared" si="0"/>
        <v/>
      </c>
      <c r="G15" s="288"/>
      <c r="H15" s="287"/>
      <c r="I15" s="287"/>
      <c r="J15" s="288"/>
      <c r="K15" s="288"/>
      <c r="L15" s="288"/>
      <c r="M15" s="288"/>
      <c r="N15" s="288"/>
      <c r="O15" s="286"/>
      <c r="P15" s="171"/>
    </row>
    <row r="16" spans="1:16" s="169" customFormat="1" ht="17.75" customHeight="1" x14ac:dyDescent="0.45">
      <c r="A16" s="171"/>
      <c r="B16" s="217">
        <v>10</v>
      </c>
      <c r="C16" s="245"/>
      <c r="D16" s="246"/>
      <c r="E16" s="280" t="str">
        <f>IF(C16="","",VLOOKUP($B$3,Exchange_Rates!$A$2:$B$19,2,FALSE))</f>
        <v/>
      </c>
      <c r="F16" s="244" t="str">
        <f t="shared" si="0"/>
        <v/>
      </c>
      <c r="G16" s="288"/>
      <c r="H16" s="287"/>
      <c r="I16" s="287"/>
      <c r="J16" s="288"/>
      <c r="K16" s="288"/>
      <c r="L16" s="288"/>
      <c r="M16" s="288"/>
      <c r="N16" s="288"/>
      <c r="O16" s="286"/>
      <c r="P16" s="171"/>
    </row>
    <row r="17" spans="1:16" s="169" customFormat="1" x14ac:dyDescent="0.45">
      <c r="A17" s="171"/>
      <c r="B17" s="217">
        <v>11</v>
      </c>
      <c r="C17" s="245"/>
      <c r="D17" s="246"/>
      <c r="E17" s="280" t="str">
        <f>IF(C17="","",VLOOKUP($B$3,Exchange_Rates!$A$2:$B$19,2,FALSE))</f>
        <v/>
      </c>
      <c r="F17" s="244" t="str">
        <f t="shared" si="0"/>
        <v/>
      </c>
      <c r="G17" s="288"/>
      <c r="H17" s="287"/>
      <c r="I17" s="287"/>
      <c r="J17" s="288"/>
      <c r="K17" s="288"/>
      <c r="L17" s="288"/>
      <c r="M17" s="288"/>
      <c r="N17" s="288"/>
      <c r="O17" s="286"/>
      <c r="P17" s="171"/>
    </row>
    <row r="18" spans="1:16" s="169" customFormat="1" x14ac:dyDescent="0.45">
      <c r="A18" s="171"/>
      <c r="B18" s="217">
        <v>12</v>
      </c>
      <c r="C18" s="245"/>
      <c r="D18" s="246"/>
      <c r="E18" s="280" t="str">
        <f>IF(C18="","",VLOOKUP($B$3,Exchange_Rates!$A$2:$B$19,2,FALSE))</f>
        <v/>
      </c>
      <c r="F18" s="244" t="str">
        <f t="shared" si="0"/>
        <v/>
      </c>
      <c r="G18" s="288"/>
      <c r="H18" s="287"/>
      <c r="I18" s="287"/>
      <c r="J18" s="288"/>
      <c r="K18" s="288"/>
      <c r="L18" s="288"/>
      <c r="M18" s="288"/>
      <c r="N18" s="288"/>
      <c r="O18" s="286"/>
      <c r="P18" s="171"/>
    </row>
    <row r="19" spans="1:16" s="169" customFormat="1" x14ac:dyDescent="0.45">
      <c r="A19" s="171"/>
      <c r="B19" s="217">
        <v>13</v>
      </c>
      <c r="C19" s="245"/>
      <c r="D19" s="246"/>
      <c r="E19" s="280" t="str">
        <f>IF(C19="","",VLOOKUP($B$3,Exchange_Rates!$A$2:$B$19,2,FALSE))</f>
        <v/>
      </c>
      <c r="F19" s="244" t="str">
        <f t="shared" si="0"/>
        <v/>
      </c>
      <c r="G19" s="288"/>
      <c r="H19" s="287"/>
      <c r="I19" s="287"/>
      <c r="J19" s="288"/>
      <c r="K19" s="288"/>
      <c r="L19" s="288"/>
      <c r="M19" s="288"/>
      <c r="N19" s="288"/>
      <c r="O19" s="286"/>
      <c r="P19" s="171"/>
    </row>
    <row r="20" spans="1:16" s="169" customFormat="1" x14ac:dyDescent="0.45">
      <c r="A20" s="171"/>
      <c r="B20" s="217">
        <v>14</v>
      </c>
      <c r="C20" s="245"/>
      <c r="D20" s="246"/>
      <c r="E20" s="280" t="str">
        <f>IF(C20="","",VLOOKUP($B$3,Exchange_Rates!$A$2:$B$19,2,FALSE))</f>
        <v/>
      </c>
      <c r="F20" s="244" t="str">
        <f t="shared" si="0"/>
        <v/>
      </c>
      <c r="G20" s="288"/>
      <c r="H20" s="287"/>
      <c r="I20" s="287"/>
      <c r="J20" s="288"/>
      <c r="K20" s="288"/>
      <c r="L20" s="288"/>
      <c r="M20" s="288"/>
      <c r="N20" s="288"/>
      <c r="O20" s="286"/>
      <c r="P20" s="171"/>
    </row>
    <row r="21" spans="1:16" s="169" customFormat="1" x14ac:dyDescent="0.45">
      <c r="A21" s="171"/>
      <c r="B21" s="217">
        <v>15</v>
      </c>
      <c r="C21" s="245"/>
      <c r="D21" s="246"/>
      <c r="E21" s="280" t="str">
        <f>IF(C21="","",VLOOKUP($B$3,Exchange_Rates!$A$2:$B$19,2,FALSE))</f>
        <v/>
      </c>
      <c r="F21" s="244" t="str">
        <f t="shared" si="0"/>
        <v/>
      </c>
      <c r="G21" s="288"/>
      <c r="H21" s="287"/>
      <c r="I21" s="287"/>
      <c r="J21" s="288"/>
      <c r="K21" s="288"/>
      <c r="L21" s="288"/>
      <c r="M21" s="288"/>
      <c r="N21" s="288"/>
      <c r="O21" s="286"/>
      <c r="P21" s="171"/>
    </row>
    <row r="22" spans="1:16" s="169" customFormat="1" x14ac:dyDescent="0.45">
      <c r="A22" s="171"/>
      <c r="B22" s="217">
        <v>16</v>
      </c>
      <c r="C22" s="245"/>
      <c r="D22" s="246"/>
      <c r="E22" s="280" t="str">
        <f>IF(C22="","",VLOOKUP($B$3,Exchange_Rates!$A$2:$B$19,2,FALSE))</f>
        <v/>
      </c>
      <c r="F22" s="244" t="str">
        <f t="shared" si="0"/>
        <v/>
      </c>
      <c r="G22" s="288"/>
      <c r="H22" s="287"/>
      <c r="I22" s="287"/>
      <c r="J22" s="288"/>
      <c r="K22" s="288"/>
      <c r="L22" s="288"/>
      <c r="M22" s="288"/>
      <c r="N22" s="288"/>
      <c r="O22" s="286"/>
      <c r="P22" s="171"/>
    </row>
    <row r="23" spans="1:16" s="169" customFormat="1" x14ac:dyDescent="0.45">
      <c r="A23" s="171"/>
      <c r="B23" s="217">
        <v>17</v>
      </c>
      <c r="C23" s="245"/>
      <c r="D23" s="246"/>
      <c r="E23" s="280" t="str">
        <f>IF(C23="","",VLOOKUP($B$3,Exchange_Rates!$A$2:$B$19,2,FALSE))</f>
        <v/>
      </c>
      <c r="F23" s="244" t="str">
        <f t="shared" si="0"/>
        <v/>
      </c>
      <c r="G23" s="288"/>
      <c r="H23" s="287"/>
      <c r="I23" s="287"/>
      <c r="J23" s="288"/>
      <c r="K23" s="288"/>
      <c r="L23" s="288"/>
      <c r="M23" s="288"/>
      <c r="N23" s="288"/>
      <c r="O23" s="286"/>
      <c r="P23" s="171"/>
    </row>
    <row r="24" spans="1:16" s="169" customFormat="1" x14ac:dyDescent="0.45">
      <c r="A24" s="171"/>
      <c r="B24" s="217">
        <v>18</v>
      </c>
      <c r="C24" s="245"/>
      <c r="D24" s="246"/>
      <c r="E24" s="280" t="str">
        <f>IF(C24="","",VLOOKUP($B$3,Exchange_Rates!$A$2:$B$19,2,FALSE))</f>
        <v/>
      </c>
      <c r="F24" s="244" t="str">
        <f t="shared" si="0"/>
        <v/>
      </c>
      <c r="G24" s="288"/>
      <c r="H24" s="285"/>
      <c r="I24" s="285"/>
      <c r="J24" s="288"/>
      <c r="K24" s="288"/>
      <c r="L24" s="288"/>
      <c r="M24" s="288"/>
      <c r="N24" s="288"/>
      <c r="O24" s="286"/>
      <c r="P24" s="171"/>
    </row>
    <row r="25" spans="1:16" s="169" customFormat="1" x14ac:dyDescent="0.45">
      <c r="A25" s="171"/>
      <c r="B25" s="217">
        <v>19</v>
      </c>
      <c r="C25" s="245"/>
      <c r="D25" s="246"/>
      <c r="E25" s="280" t="str">
        <f>IF(C25="","",VLOOKUP($B$3,Exchange_Rates!$A$2:$B$19,2,FALSE))</f>
        <v/>
      </c>
      <c r="F25" s="244" t="str">
        <f t="shared" si="0"/>
        <v/>
      </c>
      <c r="G25" s="288"/>
      <c r="H25" s="285"/>
      <c r="I25" s="285"/>
      <c r="J25" s="288"/>
      <c r="K25" s="288"/>
      <c r="L25" s="288"/>
      <c r="M25" s="288"/>
      <c r="N25" s="288"/>
      <c r="O25" s="286"/>
      <c r="P25" s="171"/>
    </row>
    <row r="26" spans="1:16" s="169" customFormat="1" ht="14.65" thickBot="1" x14ac:dyDescent="0.5">
      <c r="A26" s="171"/>
      <c r="B26" s="239">
        <v>20</v>
      </c>
      <c r="C26" s="247"/>
      <c r="D26" s="248"/>
      <c r="E26" s="281" t="str">
        <f>IF(C26="","",VLOOKUP($B$3,Exchange_Rates!$A$2:$B$19,2,FALSE))</f>
        <v/>
      </c>
      <c r="F26" s="249" t="str">
        <f>IF(C26="","",C26*E26)</f>
        <v/>
      </c>
      <c r="G26" s="284"/>
      <c r="H26" s="283"/>
      <c r="I26" s="283"/>
      <c r="J26" s="284"/>
      <c r="K26" s="284"/>
      <c r="L26" s="284"/>
      <c r="M26" s="284"/>
      <c r="N26" s="284"/>
      <c r="O26" s="282"/>
      <c r="P26" s="171"/>
    </row>
    <row r="27" spans="1:16" s="169" customFormat="1" ht="14.65" thickTop="1" x14ac:dyDescent="0.45">
      <c r="A27" s="171"/>
      <c r="B27" s="172"/>
      <c r="C27" s="221"/>
      <c r="D27" s="223"/>
      <c r="E27" s="223"/>
      <c r="F27" s="229"/>
      <c r="G27" s="241"/>
      <c r="H27" s="242"/>
      <c r="I27" s="242"/>
      <c r="J27" s="241"/>
      <c r="K27" s="241"/>
      <c r="L27" s="241"/>
      <c r="M27" s="241"/>
      <c r="N27" s="241"/>
      <c r="O27" s="241"/>
      <c r="P27" s="171"/>
    </row>
    <row r="28" spans="1:16" s="169" customFormat="1" x14ac:dyDescent="0.45">
      <c r="B28" s="170"/>
      <c r="C28" s="221"/>
      <c r="D28" s="223"/>
      <c r="E28" s="223"/>
      <c r="F28" s="224"/>
      <c r="G28" s="241"/>
      <c r="H28" s="242"/>
      <c r="I28" s="242"/>
      <c r="J28" s="241"/>
      <c r="K28" s="241"/>
      <c r="L28" s="241"/>
      <c r="M28" s="241"/>
      <c r="N28" s="241"/>
      <c r="O28" s="241"/>
    </row>
    <row r="29" spans="1:16" s="169" customFormat="1" x14ac:dyDescent="0.45">
      <c r="B29" s="170"/>
      <c r="C29" s="221"/>
      <c r="D29" s="223"/>
      <c r="E29" s="223"/>
      <c r="F29" s="207"/>
      <c r="G29" s="241"/>
      <c r="H29" s="242"/>
      <c r="I29" s="242"/>
      <c r="J29" s="241"/>
      <c r="K29" s="241"/>
      <c r="L29" s="241"/>
      <c r="M29" s="241"/>
      <c r="N29" s="241"/>
      <c r="O29" s="241"/>
    </row>
    <row r="30" spans="1:16" s="169" customFormat="1" x14ac:dyDescent="0.45">
      <c r="B30" s="170"/>
      <c r="C30" s="221"/>
      <c r="D30" s="223"/>
      <c r="E30" s="223"/>
      <c r="F30" s="207"/>
      <c r="G30" s="241"/>
      <c r="H30" s="242"/>
      <c r="I30" s="242"/>
      <c r="J30" s="241"/>
      <c r="K30" s="241"/>
      <c r="L30" s="241"/>
      <c r="M30" s="241"/>
      <c r="N30" s="241"/>
      <c r="O30" s="241"/>
    </row>
    <row r="31" spans="1:16" s="169" customFormat="1" x14ac:dyDescent="0.45">
      <c r="B31" s="170"/>
      <c r="C31" s="221"/>
      <c r="D31" s="223"/>
      <c r="E31" s="223"/>
      <c r="F31" s="207"/>
      <c r="G31" s="241"/>
      <c r="H31" s="242"/>
      <c r="I31" s="242"/>
      <c r="J31" s="241"/>
      <c r="K31" s="241"/>
      <c r="L31" s="241"/>
      <c r="M31" s="241"/>
      <c r="N31" s="241"/>
      <c r="O31" s="241"/>
    </row>
    <row r="32" spans="1:16" s="169" customFormat="1" x14ac:dyDescent="0.45">
      <c r="B32" s="170"/>
      <c r="C32" s="221"/>
      <c r="D32" s="223"/>
      <c r="E32" s="223"/>
      <c r="F32" s="207"/>
      <c r="G32" s="241"/>
      <c r="H32" s="242"/>
      <c r="I32" s="242"/>
      <c r="J32" s="241"/>
      <c r="K32" s="241"/>
      <c r="L32" s="241"/>
      <c r="M32" s="241"/>
      <c r="N32" s="241"/>
      <c r="O32" s="241"/>
    </row>
    <row r="33" spans="2:15" s="169" customFormat="1" x14ac:dyDescent="0.45">
      <c r="B33" s="170"/>
      <c r="C33" s="221"/>
      <c r="D33" s="223"/>
      <c r="E33" s="223"/>
      <c r="F33" s="207"/>
      <c r="G33" s="241"/>
      <c r="H33" s="242"/>
      <c r="I33" s="242"/>
      <c r="J33" s="241"/>
      <c r="K33" s="241"/>
      <c r="L33" s="241"/>
      <c r="M33" s="241"/>
      <c r="N33" s="241"/>
      <c r="O33" s="241"/>
    </row>
    <row r="34" spans="2:15" s="169" customFormat="1" x14ac:dyDescent="0.45">
      <c r="B34" s="170"/>
      <c r="C34" s="221"/>
      <c r="D34" s="223"/>
      <c r="E34" s="223"/>
      <c r="F34" s="207"/>
      <c r="G34" s="241"/>
      <c r="H34" s="242"/>
      <c r="I34" s="242"/>
      <c r="J34" s="241"/>
      <c r="K34" s="241"/>
      <c r="L34" s="241"/>
      <c r="M34" s="241"/>
      <c r="N34" s="241"/>
      <c r="O34" s="241"/>
    </row>
    <row r="35" spans="2:15" s="169" customFormat="1" x14ac:dyDescent="0.45">
      <c r="B35" s="170"/>
      <c r="C35" s="221"/>
      <c r="D35" s="223"/>
      <c r="E35" s="223"/>
      <c r="F35" s="207"/>
      <c r="G35" s="241"/>
      <c r="H35" s="242"/>
      <c r="I35" s="242"/>
      <c r="J35" s="241"/>
      <c r="K35" s="241"/>
      <c r="L35" s="241"/>
      <c r="M35" s="241"/>
      <c r="N35" s="241"/>
      <c r="O35" s="241"/>
    </row>
    <row r="36" spans="2:15" s="169" customFormat="1" x14ac:dyDescent="0.45">
      <c r="B36" s="170"/>
      <c r="C36" s="221"/>
      <c r="D36" s="223"/>
      <c r="E36" s="223"/>
      <c r="F36" s="207"/>
      <c r="G36" s="241"/>
      <c r="H36" s="242"/>
      <c r="I36" s="242"/>
      <c r="J36" s="241"/>
      <c r="K36" s="241"/>
      <c r="L36" s="241"/>
      <c r="M36" s="241"/>
      <c r="N36" s="241"/>
      <c r="O36" s="241"/>
    </row>
    <row r="37" spans="2:15" s="169" customFormat="1" x14ac:dyDescent="0.45">
      <c r="B37" s="170"/>
      <c r="C37" s="221"/>
      <c r="D37" s="223"/>
      <c r="E37" s="223"/>
      <c r="F37" s="207"/>
      <c r="G37" s="241"/>
      <c r="H37" s="242"/>
      <c r="I37" s="242"/>
      <c r="J37" s="241"/>
      <c r="K37" s="241"/>
      <c r="L37" s="241"/>
      <c r="M37" s="241"/>
      <c r="N37" s="241"/>
      <c r="O37" s="241"/>
    </row>
    <row r="38" spans="2:15" s="169" customFormat="1" x14ac:dyDescent="0.45">
      <c r="B38" s="170"/>
      <c r="C38" s="221"/>
      <c r="D38" s="223"/>
      <c r="E38" s="223"/>
      <c r="F38" s="207"/>
      <c r="G38" s="241"/>
      <c r="H38" s="242"/>
      <c r="I38" s="242"/>
      <c r="J38" s="241"/>
      <c r="K38" s="241"/>
      <c r="L38" s="241"/>
      <c r="M38" s="241"/>
      <c r="N38" s="241"/>
      <c r="O38" s="241"/>
    </row>
    <row r="39" spans="2:15" s="169" customFormat="1" x14ac:dyDescent="0.45">
      <c r="B39" s="170"/>
      <c r="C39" s="221"/>
      <c r="D39" s="223"/>
      <c r="E39" s="223"/>
      <c r="F39" s="207"/>
      <c r="G39" s="241"/>
      <c r="H39" s="242"/>
      <c r="I39" s="242"/>
      <c r="J39" s="241"/>
      <c r="K39" s="241"/>
      <c r="L39" s="241"/>
      <c r="M39" s="241"/>
      <c r="N39" s="241"/>
      <c r="O39" s="241"/>
    </row>
    <row r="40" spans="2:15" s="169" customFormat="1" x14ac:dyDescent="0.45">
      <c r="B40" s="170"/>
      <c r="C40" s="221"/>
      <c r="D40" s="223"/>
      <c r="E40" s="223"/>
      <c r="F40" s="207"/>
      <c r="G40" s="241"/>
      <c r="H40" s="242"/>
      <c r="I40" s="242"/>
      <c r="J40" s="241"/>
      <c r="K40" s="241"/>
      <c r="L40" s="241"/>
      <c r="M40" s="241"/>
      <c r="N40" s="241"/>
      <c r="O40" s="241"/>
    </row>
    <row r="41" spans="2:15" s="169" customFormat="1" x14ac:dyDescent="0.45">
      <c r="B41" s="170"/>
      <c r="C41" s="221"/>
      <c r="D41" s="223"/>
      <c r="E41" s="223"/>
      <c r="F41" s="207"/>
      <c r="G41" s="241"/>
      <c r="H41" s="242"/>
      <c r="I41" s="242"/>
      <c r="J41" s="241"/>
      <c r="K41" s="241"/>
      <c r="L41" s="241"/>
      <c r="M41" s="241"/>
      <c r="N41" s="241"/>
      <c r="O41" s="241"/>
    </row>
    <row r="42" spans="2:15" s="169" customFormat="1" x14ac:dyDescent="0.45">
      <c r="B42" s="170"/>
      <c r="C42" s="221"/>
      <c r="D42" s="223"/>
      <c r="E42" s="223"/>
      <c r="F42" s="207"/>
      <c r="G42" s="241"/>
      <c r="H42" s="242"/>
      <c r="I42" s="242"/>
      <c r="J42" s="241"/>
      <c r="K42" s="241"/>
      <c r="L42" s="241"/>
      <c r="M42" s="241"/>
      <c r="N42" s="241"/>
      <c r="O42" s="241"/>
    </row>
    <row r="43" spans="2:15" s="169" customFormat="1" x14ac:dyDescent="0.45">
      <c r="B43" s="170"/>
      <c r="C43" s="221"/>
      <c r="D43" s="223"/>
      <c r="E43" s="223"/>
      <c r="F43" s="207"/>
      <c r="G43" s="241"/>
      <c r="H43" s="242"/>
      <c r="I43" s="242"/>
      <c r="J43" s="241"/>
      <c r="K43" s="241"/>
      <c r="L43" s="241"/>
      <c r="M43" s="241"/>
      <c r="N43" s="241"/>
      <c r="O43" s="241"/>
    </row>
    <row r="44" spans="2:15" s="169" customFormat="1" x14ac:dyDescent="0.45">
      <c r="B44" s="170"/>
      <c r="C44" s="221"/>
      <c r="D44" s="223"/>
      <c r="E44" s="223"/>
      <c r="F44" s="207"/>
      <c r="G44" s="241"/>
      <c r="H44" s="242"/>
      <c r="I44" s="242"/>
      <c r="J44" s="241"/>
      <c r="K44" s="241"/>
      <c r="L44" s="241"/>
      <c r="M44" s="241"/>
      <c r="N44" s="241"/>
      <c r="O44" s="241"/>
    </row>
    <row r="45" spans="2:15" s="169" customFormat="1" x14ac:dyDescent="0.45">
      <c r="B45" s="170"/>
      <c r="C45" s="221"/>
      <c r="D45" s="223"/>
      <c r="E45" s="223"/>
      <c r="F45" s="207"/>
      <c r="G45" s="241"/>
      <c r="H45" s="242"/>
      <c r="I45" s="242"/>
      <c r="J45" s="241"/>
      <c r="K45" s="241"/>
      <c r="L45" s="241"/>
      <c r="M45" s="241"/>
      <c r="N45" s="241"/>
      <c r="O45" s="241"/>
    </row>
    <row r="46" spans="2:15" x14ac:dyDescent="0.45">
      <c r="C46" s="218"/>
      <c r="D46" s="223"/>
      <c r="E46" s="223"/>
      <c r="G46" s="219"/>
      <c r="H46" s="230"/>
      <c r="I46" s="230"/>
      <c r="J46" s="219"/>
      <c r="K46" s="219"/>
      <c r="L46" s="219"/>
      <c r="M46" s="219"/>
      <c r="N46" s="219"/>
      <c r="O46" s="219"/>
    </row>
    <row r="47" spans="2:15" x14ac:dyDescent="0.45">
      <c r="B47" s="167"/>
      <c r="C47" s="218"/>
      <c r="D47" s="223"/>
      <c r="E47" s="223"/>
      <c r="G47" s="219"/>
      <c r="H47" s="230"/>
      <c r="I47" s="230"/>
      <c r="J47" s="219"/>
      <c r="K47" s="219"/>
      <c r="L47" s="219"/>
      <c r="M47" s="219"/>
      <c r="N47" s="219"/>
      <c r="O47" s="219"/>
    </row>
    <row r="48" spans="2:15" x14ac:dyDescent="0.45">
      <c r="B48" s="167"/>
      <c r="C48" s="218"/>
      <c r="D48" s="223"/>
      <c r="E48" s="223"/>
      <c r="G48" s="219"/>
      <c r="H48" s="230"/>
      <c r="I48" s="230"/>
      <c r="J48" s="219"/>
      <c r="K48" s="219"/>
      <c r="L48" s="219"/>
      <c r="M48" s="219"/>
      <c r="N48" s="219"/>
      <c r="O48" s="219"/>
    </row>
    <row r="49" spans="2:15" x14ac:dyDescent="0.45">
      <c r="B49" s="167"/>
      <c r="C49" s="218"/>
      <c r="D49" s="223"/>
      <c r="E49" s="223"/>
      <c r="G49" s="219"/>
      <c r="H49" s="230"/>
      <c r="I49" s="230"/>
      <c r="J49" s="219"/>
      <c r="K49" s="219"/>
      <c r="L49" s="219"/>
      <c r="M49" s="219"/>
      <c r="N49" s="219"/>
      <c r="O49" s="219"/>
    </row>
    <row r="50" spans="2:15" x14ac:dyDescent="0.45">
      <c r="B50" s="167"/>
      <c r="C50" s="218"/>
      <c r="D50" s="223"/>
      <c r="E50" s="223"/>
      <c r="G50" s="219"/>
      <c r="H50" s="230"/>
      <c r="I50" s="230"/>
      <c r="J50" s="219"/>
      <c r="K50" s="219"/>
      <c r="L50" s="219"/>
      <c r="M50" s="219"/>
      <c r="N50" s="219"/>
      <c r="O50" s="219"/>
    </row>
    <row r="51" spans="2:15" x14ac:dyDescent="0.45">
      <c r="B51" s="167"/>
      <c r="C51" s="218"/>
      <c r="D51" s="223"/>
      <c r="E51" s="223"/>
      <c r="G51" s="219"/>
      <c r="H51" s="230"/>
      <c r="I51" s="230"/>
      <c r="J51" s="219"/>
      <c r="K51" s="219"/>
      <c r="L51" s="219"/>
      <c r="M51" s="219"/>
      <c r="N51" s="219"/>
      <c r="O51" s="219"/>
    </row>
    <row r="52" spans="2:15" x14ac:dyDescent="0.45">
      <c r="B52" s="167"/>
      <c r="C52" s="218"/>
      <c r="D52" s="223"/>
      <c r="E52" s="223"/>
      <c r="G52" s="219"/>
      <c r="H52" s="230"/>
      <c r="I52" s="230"/>
      <c r="J52" s="219"/>
      <c r="K52" s="219"/>
      <c r="L52" s="219"/>
      <c r="M52" s="219"/>
      <c r="N52" s="219"/>
      <c r="O52" s="219"/>
    </row>
    <row r="53" spans="2:15" x14ac:dyDescent="0.45">
      <c r="B53" s="167"/>
      <c r="C53" s="218"/>
      <c r="D53" s="223"/>
      <c r="E53" s="223"/>
      <c r="G53" s="219"/>
      <c r="H53" s="230"/>
      <c r="I53" s="230"/>
      <c r="J53" s="219"/>
      <c r="K53" s="219"/>
      <c r="L53" s="219"/>
      <c r="M53" s="219"/>
      <c r="N53" s="219"/>
      <c r="O53" s="219"/>
    </row>
    <row r="54" spans="2:15" x14ac:dyDescent="0.45">
      <c r="B54" s="167"/>
      <c r="C54" s="218"/>
      <c r="D54" s="223"/>
      <c r="E54" s="223"/>
      <c r="G54" s="219"/>
      <c r="H54" s="230"/>
      <c r="I54" s="230"/>
      <c r="J54" s="219"/>
      <c r="K54" s="219"/>
      <c r="L54" s="219"/>
      <c r="M54" s="219"/>
      <c r="N54" s="219"/>
      <c r="O54" s="219"/>
    </row>
    <row r="55" spans="2:15" x14ac:dyDescent="0.45">
      <c r="B55" s="167"/>
      <c r="C55" s="218"/>
      <c r="D55" s="223"/>
      <c r="E55" s="223"/>
      <c r="G55" s="219"/>
      <c r="H55" s="230"/>
      <c r="I55" s="230"/>
      <c r="J55" s="219"/>
      <c r="K55" s="219"/>
      <c r="L55" s="219"/>
      <c r="M55" s="219"/>
      <c r="N55" s="219"/>
      <c r="O55" s="219"/>
    </row>
    <row r="56" spans="2:15" x14ac:dyDescent="0.45">
      <c r="B56" s="167"/>
      <c r="C56" s="218"/>
      <c r="D56" s="223"/>
      <c r="E56" s="223"/>
      <c r="G56" s="219"/>
      <c r="H56" s="230"/>
      <c r="I56" s="230"/>
      <c r="J56" s="219"/>
      <c r="K56" s="219"/>
      <c r="L56" s="219"/>
      <c r="M56" s="219"/>
      <c r="N56" s="219"/>
      <c r="O56" s="219"/>
    </row>
    <row r="57" spans="2:15" x14ac:dyDescent="0.45">
      <c r="B57" s="167"/>
      <c r="C57" s="218"/>
      <c r="D57" s="223"/>
      <c r="E57" s="223"/>
      <c r="G57" s="219"/>
      <c r="H57" s="230"/>
      <c r="I57" s="230"/>
      <c r="J57" s="219"/>
      <c r="K57" s="219"/>
      <c r="L57" s="219"/>
      <c r="M57" s="219"/>
      <c r="N57" s="219"/>
      <c r="O57" s="219"/>
    </row>
    <row r="58" spans="2:15" x14ac:dyDescent="0.45">
      <c r="B58" s="167"/>
      <c r="C58" s="218"/>
      <c r="D58" s="223"/>
      <c r="E58" s="223"/>
      <c r="G58" s="219"/>
      <c r="H58" s="230"/>
      <c r="I58" s="230"/>
      <c r="J58" s="219"/>
      <c r="K58" s="219"/>
      <c r="L58" s="219"/>
      <c r="M58" s="219"/>
      <c r="N58" s="219"/>
      <c r="O58" s="219"/>
    </row>
    <row r="59" spans="2:15" x14ac:dyDescent="0.45">
      <c r="B59" s="167"/>
      <c r="C59" s="218"/>
      <c r="D59" s="223"/>
      <c r="E59" s="223"/>
      <c r="G59" s="219"/>
      <c r="H59" s="230"/>
      <c r="I59" s="230"/>
      <c r="J59" s="219"/>
      <c r="K59" s="219"/>
      <c r="L59" s="219"/>
      <c r="M59" s="219"/>
      <c r="N59" s="219"/>
      <c r="O59" s="219"/>
    </row>
    <row r="60" spans="2:15" x14ac:dyDescent="0.45">
      <c r="B60" s="167"/>
      <c r="C60" s="218"/>
      <c r="D60" s="223"/>
      <c r="E60" s="223"/>
      <c r="G60" s="219"/>
      <c r="H60" s="230"/>
      <c r="I60" s="230"/>
      <c r="J60" s="219"/>
      <c r="K60" s="219"/>
      <c r="L60" s="219"/>
      <c r="M60" s="219"/>
      <c r="N60" s="219"/>
      <c r="O60" s="219"/>
    </row>
    <row r="61" spans="2:15" x14ac:dyDescent="0.45">
      <c r="B61" s="167"/>
      <c r="C61" s="218"/>
      <c r="D61" s="223"/>
      <c r="E61" s="223"/>
      <c r="G61" s="219"/>
      <c r="H61" s="230"/>
      <c r="I61" s="230"/>
      <c r="J61" s="219"/>
      <c r="K61" s="219"/>
      <c r="L61" s="219"/>
      <c r="M61" s="219"/>
      <c r="N61" s="219"/>
      <c r="O61" s="219"/>
    </row>
    <row r="62" spans="2:15" x14ac:dyDescent="0.45">
      <c r="B62" s="167"/>
      <c r="C62" s="218"/>
      <c r="D62" s="223"/>
      <c r="E62" s="223"/>
      <c r="G62" s="219"/>
      <c r="H62" s="230"/>
      <c r="I62" s="230"/>
      <c r="J62" s="219"/>
      <c r="K62" s="219"/>
      <c r="L62" s="219"/>
      <c r="M62" s="219"/>
      <c r="N62" s="219"/>
      <c r="O62" s="219"/>
    </row>
    <row r="63" spans="2:15" x14ac:dyDescent="0.45">
      <c r="B63" s="167"/>
      <c r="C63" s="218"/>
      <c r="D63" s="223"/>
      <c r="E63" s="223"/>
      <c r="G63" s="219"/>
      <c r="H63" s="230"/>
      <c r="I63" s="230"/>
      <c r="J63" s="219"/>
      <c r="K63" s="219"/>
      <c r="L63" s="219"/>
      <c r="M63" s="219"/>
      <c r="N63" s="219"/>
      <c r="O63" s="219"/>
    </row>
    <row r="64" spans="2:15" x14ac:dyDescent="0.45">
      <c r="B64" s="167"/>
      <c r="C64" s="218"/>
      <c r="D64" s="223"/>
      <c r="E64" s="223"/>
      <c r="G64" s="219"/>
      <c r="H64" s="230"/>
      <c r="I64" s="230"/>
      <c r="J64" s="219"/>
      <c r="K64" s="219"/>
      <c r="L64" s="219"/>
      <c r="M64" s="219"/>
      <c r="N64" s="219"/>
      <c r="O64" s="219"/>
    </row>
    <row r="65" spans="2:15" x14ac:dyDescent="0.45">
      <c r="B65" s="167"/>
      <c r="C65" s="218"/>
      <c r="D65" s="223"/>
      <c r="E65" s="223"/>
      <c r="G65" s="219"/>
      <c r="H65" s="230"/>
      <c r="I65" s="230"/>
      <c r="J65" s="219"/>
      <c r="K65" s="219"/>
      <c r="L65" s="219"/>
      <c r="M65" s="219"/>
      <c r="N65" s="219"/>
      <c r="O65" s="219"/>
    </row>
    <row r="66" spans="2:15" x14ac:dyDescent="0.45">
      <c r="B66" s="167"/>
      <c r="C66" s="218"/>
      <c r="D66" s="223"/>
      <c r="E66" s="223"/>
      <c r="G66" s="219"/>
      <c r="H66" s="230"/>
      <c r="I66" s="230"/>
      <c r="J66" s="219"/>
      <c r="K66" s="219"/>
      <c r="L66" s="219"/>
      <c r="M66" s="219"/>
      <c r="N66" s="219"/>
      <c r="O66" s="219"/>
    </row>
    <row r="67" spans="2:15" x14ac:dyDescent="0.45">
      <c r="B67" s="167"/>
      <c r="C67" s="218"/>
      <c r="D67" s="223"/>
      <c r="E67" s="223"/>
      <c r="G67" s="219"/>
      <c r="H67" s="230"/>
      <c r="I67" s="230"/>
      <c r="J67" s="219"/>
      <c r="K67" s="219"/>
      <c r="L67" s="219"/>
      <c r="M67" s="219"/>
      <c r="N67" s="219"/>
      <c r="O67" s="219"/>
    </row>
    <row r="68" spans="2:15" x14ac:dyDescent="0.45">
      <c r="B68" s="167"/>
      <c r="C68" s="218"/>
      <c r="D68" s="223"/>
      <c r="E68" s="223"/>
      <c r="G68" s="219"/>
      <c r="H68" s="230"/>
      <c r="I68" s="230"/>
      <c r="J68" s="219"/>
      <c r="K68" s="219"/>
      <c r="L68" s="219"/>
      <c r="M68" s="219"/>
      <c r="N68" s="219"/>
      <c r="O68" s="219"/>
    </row>
    <row r="69" spans="2:15" x14ac:dyDescent="0.45">
      <c r="B69" s="167"/>
      <c r="C69" s="218"/>
      <c r="D69" s="223"/>
      <c r="E69" s="223"/>
      <c r="G69" s="219"/>
      <c r="H69" s="230"/>
      <c r="I69" s="230"/>
      <c r="J69" s="219"/>
      <c r="K69" s="219"/>
      <c r="L69" s="219"/>
      <c r="M69" s="219"/>
      <c r="N69" s="219"/>
      <c r="O69" s="219"/>
    </row>
    <row r="70" spans="2:15" x14ac:dyDescent="0.45">
      <c r="B70" s="167"/>
      <c r="C70" s="218"/>
      <c r="D70" s="223"/>
      <c r="E70" s="223"/>
      <c r="G70" s="219"/>
      <c r="H70" s="230"/>
      <c r="I70" s="230"/>
      <c r="J70" s="219"/>
      <c r="K70" s="219"/>
      <c r="L70" s="219"/>
      <c r="M70" s="219"/>
      <c r="N70" s="219"/>
      <c r="O70" s="219"/>
    </row>
    <row r="71" spans="2:15" x14ac:dyDescent="0.45">
      <c r="B71" s="167"/>
      <c r="C71" s="218"/>
      <c r="D71" s="223"/>
      <c r="E71" s="223"/>
      <c r="G71" s="219"/>
      <c r="H71" s="230"/>
      <c r="I71" s="230"/>
      <c r="J71" s="219"/>
      <c r="K71" s="219"/>
      <c r="L71" s="219"/>
      <c r="M71" s="219"/>
      <c r="N71" s="219"/>
      <c r="O71" s="219"/>
    </row>
    <row r="72" spans="2:15" x14ac:dyDescent="0.45">
      <c r="B72" s="167"/>
      <c r="C72" s="218"/>
      <c r="D72" s="223"/>
      <c r="E72" s="223"/>
      <c r="G72" s="219"/>
      <c r="H72" s="230"/>
      <c r="I72" s="230"/>
      <c r="J72" s="219"/>
      <c r="K72" s="219"/>
      <c r="L72" s="219"/>
      <c r="M72" s="219"/>
      <c r="N72" s="219"/>
      <c r="O72" s="219"/>
    </row>
    <row r="73" spans="2:15" x14ac:dyDescent="0.45">
      <c r="B73" s="167"/>
      <c r="C73" s="218"/>
      <c r="D73" s="223"/>
      <c r="E73" s="223"/>
      <c r="G73" s="219"/>
      <c r="H73" s="230"/>
      <c r="I73" s="230"/>
      <c r="J73" s="219"/>
      <c r="K73" s="219"/>
      <c r="L73" s="219"/>
      <c r="M73" s="219"/>
      <c r="N73" s="219"/>
      <c r="O73" s="219"/>
    </row>
    <row r="74" spans="2:15" x14ac:dyDescent="0.45">
      <c r="B74" s="167"/>
      <c r="C74" s="218"/>
      <c r="D74" s="223"/>
      <c r="E74" s="223"/>
      <c r="G74" s="219"/>
      <c r="H74" s="230"/>
      <c r="I74" s="230"/>
      <c r="J74" s="219"/>
      <c r="K74" s="219"/>
      <c r="L74" s="219"/>
      <c r="M74" s="219"/>
      <c r="N74" s="219"/>
      <c r="O74" s="219"/>
    </row>
    <row r="75" spans="2:15" x14ac:dyDescent="0.45">
      <c r="B75" s="167"/>
      <c r="C75" s="218"/>
      <c r="D75" s="223"/>
      <c r="E75" s="223"/>
      <c r="G75" s="219"/>
      <c r="H75" s="230"/>
      <c r="I75" s="230"/>
      <c r="J75" s="219"/>
      <c r="K75" s="219"/>
      <c r="L75" s="219"/>
      <c r="M75" s="219"/>
      <c r="N75" s="219"/>
      <c r="O75" s="219"/>
    </row>
    <row r="76" spans="2:15" x14ac:dyDescent="0.45">
      <c r="B76" s="167"/>
      <c r="C76" s="218"/>
      <c r="D76" s="223"/>
      <c r="E76" s="223"/>
      <c r="G76" s="219"/>
      <c r="H76" s="230"/>
      <c r="I76" s="230"/>
      <c r="J76" s="219"/>
      <c r="K76" s="219"/>
      <c r="L76" s="219"/>
      <c r="M76" s="219"/>
      <c r="N76" s="219"/>
      <c r="O76" s="219"/>
    </row>
    <row r="77" spans="2:15" x14ac:dyDescent="0.45">
      <c r="B77" s="167"/>
      <c r="C77" s="218"/>
      <c r="D77" s="223"/>
      <c r="E77" s="223"/>
      <c r="G77" s="219"/>
      <c r="H77" s="230"/>
      <c r="I77" s="230"/>
      <c r="J77" s="219"/>
      <c r="K77" s="219"/>
      <c r="L77" s="219"/>
      <c r="M77" s="219"/>
      <c r="N77" s="219"/>
      <c r="O77" s="219"/>
    </row>
    <row r="78" spans="2:15" x14ac:dyDescent="0.45">
      <c r="B78" s="167"/>
      <c r="C78" s="218"/>
      <c r="D78" s="223"/>
      <c r="E78" s="223"/>
      <c r="G78" s="219"/>
      <c r="H78" s="230"/>
      <c r="I78" s="230"/>
      <c r="J78" s="219"/>
      <c r="K78" s="219"/>
      <c r="L78" s="219"/>
      <c r="M78" s="219"/>
      <c r="N78" s="219"/>
      <c r="O78" s="219"/>
    </row>
    <row r="79" spans="2:15" x14ac:dyDescent="0.45">
      <c r="B79" s="167"/>
      <c r="C79" s="218"/>
      <c r="D79" s="223"/>
      <c r="E79" s="223"/>
      <c r="G79" s="219"/>
      <c r="H79" s="230"/>
      <c r="I79" s="230"/>
      <c r="J79" s="219"/>
      <c r="K79" s="219"/>
      <c r="L79" s="219"/>
      <c r="M79" s="219"/>
      <c r="N79" s="219"/>
      <c r="O79" s="219"/>
    </row>
    <row r="80" spans="2:15" x14ac:dyDescent="0.45">
      <c r="B80" s="167"/>
      <c r="C80" s="218"/>
      <c r="D80" s="223"/>
      <c r="E80" s="223"/>
      <c r="G80" s="219"/>
      <c r="H80" s="230"/>
      <c r="I80" s="230"/>
      <c r="J80" s="219"/>
      <c r="K80" s="219"/>
      <c r="L80" s="219"/>
      <c r="M80" s="219"/>
      <c r="N80" s="219"/>
      <c r="O80" s="219"/>
    </row>
    <row r="81" spans="2:15" x14ac:dyDescent="0.45">
      <c r="B81" s="167"/>
      <c r="C81" s="218"/>
      <c r="D81" s="223"/>
      <c r="E81" s="223"/>
      <c r="G81" s="219"/>
      <c r="H81" s="230"/>
      <c r="I81" s="230"/>
      <c r="J81" s="219"/>
      <c r="K81" s="219"/>
      <c r="L81" s="219"/>
      <c r="M81" s="219"/>
      <c r="N81" s="219"/>
      <c r="O81" s="219"/>
    </row>
    <row r="82" spans="2:15" x14ac:dyDescent="0.45">
      <c r="B82" s="167"/>
      <c r="C82" s="218"/>
      <c r="D82" s="223"/>
      <c r="E82" s="223"/>
      <c r="G82" s="219"/>
      <c r="H82" s="230"/>
      <c r="I82" s="230"/>
      <c r="J82" s="219"/>
      <c r="K82" s="219"/>
      <c r="L82" s="219"/>
      <c r="M82" s="219"/>
      <c r="N82" s="219"/>
      <c r="O82" s="219"/>
    </row>
    <row r="83" spans="2:15" x14ac:dyDescent="0.45">
      <c r="B83" s="167"/>
      <c r="C83" s="218"/>
      <c r="D83" s="223"/>
      <c r="E83" s="223"/>
      <c r="G83" s="219"/>
      <c r="H83" s="230"/>
      <c r="I83" s="230"/>
      <c r="J83" s="219"/>
      <c r="K83" s="219"/>
      <c r="L83" s="219"/>
      <c r="M83" s="219"/>
      <c r="N83" s="219"/>
      <c r="O83" s="219"/>
    </row>
    <row r="84" spans="2:15" x14ac:dyDescent="0.45">
      <c r="B84" s="167"/>
      <c r="C84" s="218"/>
      <c r="D84" s="223"/>
      <c r="E84" s="223"/>
      <c r="G84" s="219"/>
      <c r="H84" s="230"/>
      <c r="I84" s="230"/>
      <c r="J84" s="219"/>
      <c r="K84" s="219"/>
      <c r="L84" s="219"/>
      <c r="M84" s="219"/>
      <c r="N84" s="219"/>
      <c r="O84" s="219"/>
    </row>
    <row r="85" spans="2:15" x14ac:dyDescent="0.45">
      <c r="B85" s="167"/>
      <c r="C85" s="218"/>
      <c r="D85" s="223"/>
      <c r="E85" s="223"/>
      <c r="G85" s="219"/>
      <c r="H85" s="230"/>
      <c r="I85" s="230"/>
      <c r="J85" s="219"/>
      <c r="K85" s="219"/>
      <c r="L85" s="219"/>
      <c r="M85" s="219"/>
      <c r="N85" s="219"/>
      <c r="O85" s="219"/>
    </row>
    <row r="86" spans="2:15" x14ac:dyDescent="0.45">
      <c r="B86" s="167"/>
      <c r="C86" s="218"/>
      <c r="D86" s="223"/>
      <c r="E86" s="223"/>
      <c r="G86" s="219"/>
      <c r="H86" s="230"/>
      <c r="I86" s="230"/>
      <c r="J86" s="219"/>
      <c r="K86" s="219"/>
      <c r="L86" s="219"/>
      <c r="M86" s="219"/>
      <c r="N86" s="219"/>
      <c r="O86" s="219"/>
    </row>
    <row r="87" spans="2:15" x14ac:dyDescent="0.45">
      <c r="B87" s="167"/>
      <c r="C87" s="218"/>
      <c r="D87" s="223"/>
      <c r="E87" s="223"/>
      <c r="G87" s="219"/>
      <c r="H87" s="230"/>
      <c r="I87" s="230"/>
      <c r="J87" s="219"/>
      <c r="K87" s="219"/>
      <c r="L87" s="219"/>
      <c r="M87" s="219"/>
      <c r="N87" s="219"/>
      <c r="O87" s="219"/>
    </row>
    <row r="88" spans="2:15" x14ac:dyDescent="0.45">
      <c r="B88" s="167"/>
      <c r="C88" s="218"/>
      <c r="D88" s="223"/>
      <c r="E88" s="223"/>
      <c r="G88" s="219"/>
      <c r="H88" s="230"/>
      <c r="I88" s="230"/>
      <c r="J88" s="219"/>
      <c r="K88" s="219"/>
      <c r="L88" s="219"/>
      <c r="M88" s="219"/>
      <c r="N88" s="219"/>
      <c r="O88" s="219"/>
    </row>
    <row r="89" spans="2:15" x14ac:dyDescent="0.45">
      <c r="B89" s="167"/>
      <c r="C89" s="218"/>
      <c r="D89" s="223"/>
      <c r="E89" s="223"/>
      <c r="G89" s="219"/>
      <c r="H89" s="230"/>
      <c r="I89" s="230"/>
      <c r="J89" s="219"/>
      <c r="K89" s="219"/>
      <c r="L89" s="219"/>
      <c r="M89" s="219"/>
      <c r="N89" s="219"/>
      <c r="O89" s="219"/>
    </row>
    <row r="90" spans="2:15" x14ac:dyDescent="0.45">
      <c r="B90" s="167"/>
      <c r="C90" s="218"/>
      <c r="D90" s="223"/>
      <c r="E90" s="223"/>
      <c r="G90" s="219"/>
      <c r="H90" s="230"/>
      <c r="I90" s="230"/>
      <c r="J90" s="219"/>
      <c r="K90" s="219"/>
      <c r="L90" s="219"/>
      <c r="M90" s="219"/>
      <c r="N90" s="219"/>
      <c r="O90" s="219"/>
    </row>
    <row r="91" spans="2:15" x14ac:dyDescent="0.45">
      <c r="B91" s="167"/>
      <c r="C91" s="218"/>
      <c r="D91" s="223"/>
      <c r="E91" s="223"/>
      <c r="G91" s="219"/>
      <c r="H91" s="230"/>
      <c r="I91" s="230"/>
      <c r="J91" s="219"/>
      <c r="K91" s="219"/>
      <c r="L91" s="219"/>
      <c r="M91" s="219"/>
      <c r="N91" s="219"/>
      <c r="O91" s="219"/>
    </row>
    <row r="92" spans="2:15" x14ac:dyDescent="0.45">
      <c r="B92" s="167"/>
      <c r="C92" s="218"/>
      <c r="D92" s="223"/>
      <c r="E92" s="223"/>
      <c r="G92" s="219"/>
      <c r="H92" s="230"/>
      <c r="I92" s="230"/>
      <c r="J92" s="219"/>
      <c r="K92" s="219"/>
      <c r="L92" s="219"/>
      <c r="M92" s="219"/>
      <c r="N92" s="219"/>
      <c r="O92" s="219"/>
    </row>
    <row r="93" spans="2:15" x14ac:dyDescent="0.45">
      <c r="B93" s="167"/>
      <c r="C93" s="218"/>
      <c r="D93" s="223"/>
      <c r="E93" s="223"/>
      <c r="G93" s="219"/>
      <c r="H93" s="230"/>
      <c r="I93" s="230"/>
      <c r="J93" s="219"/>
      <c r="K93" s="219"/>
      <c r="L93" s="219"/>
      <c r="M93" s="219"/>
      <c r="N93" s="219"/>
      <c r="O93" s="219"/>
    </row>
    <row r="94" spans="2:15" x14ac:dyDescent="0.45">
      <c r="B94" s="167"/>
      <c r="C94" s="218"/>
      <c r="D94" s="223"/>
      <c r="E94" s="223"/>
      <c r="G94" s="219"/>
      <c r="H94" s="230"/>
      <c r="I94" s="230"/>
      <c r="J94" s="219"/>
      <c r="K94" s="219"/>
      <c r="L94" s="219"/>
      <c r="M94" s="219"/>
      <c r="N94" s="219"/>
      <c r="O94" s="219"/>
    </row>
    <row r="95" spans="2:15" x14ac:dyDescent="0.45">
      <c r="B95" s="167"/>
      <c r="C95" s="218"/>
      <c r="D95" s="223"/>
      <c r="E95" s="223"/>
      <c r="G95" s="219"/>
      <c r="H95" s="230"/>
      <c r="I95" s="230"/>
      <c r="J95" s="219"/>
      <c r="K95" s="219"/>
      <c r="L95" s="219"/>
      <c r="M95" s="219"/>
      <c r="N95" s="219"/>
      <c r="O95" s="219"/>
    </row>
    <row r="96" spans="2:15" x14ac:dyDescent="0.45">
      <c r="B96" s="167"/>
      <c r="C96" s="218"/>
      <c r="D96" s="223"/>
      <c r="E96" s="223"/>
      <c r="G96" s="219"/>
      <c r="H96" s="230"/>
      <c r="I96" s="230"/>
      <c r="J96" s="219"/>
      <c r="K96" s="219"/>
      <c r="L96" s="219"/>
      <c r="M96" s="219"/>
      <c r="N96" s="219"/>
      <c r="O96" s="219"/>
    </row>
    <row r="97" spans="2:15" x14ac:dyDescent="0.45">
      <c r="B97" s="167"/>
      <c r="C97" s="218"/>
      <c r="D97" s="223"/>
      <c r="E97" s="223"/>
      <c r="G97" s="219"/>
      <c r="H97" s="230"/>
      <c r="I97" s="230"/>
      <c r="J97" s="219"/>
      <c r="K97" s="219"/>
      <c r="L97" s="219"/>
      <c r="M97" s="219"/>
      <c r="N97" s="219"/>
      <c r="O97" s="219"/>
    </row>
    <row r="98" spans="2:15" x14ac:dyDescent="0.45">
      <c r="B98" s="167"/>
      <c r="C98" s="218"/>
      <c r="D98" s="223"/>
      <c r="E98" s="223"/>
      <c r="G98" s="219"/>
      <c r="H98" s="230"/>
      <c r="I98" s="230"/>
      <c r="J98" s="219"/>
      <c r="K98" s="219"/>
      <c r="L98" s="219"/>
      <c r="M98" s="219"/>
      <c r="N98" s="219"/>
      <c r="O98" s="219"/>
    </row>
    <row r="99" spans="2:15" x14ac:dyDescent="0.45">
      <c r="B99" s="167"/>
      <c r="C99" s="218"/>
      <c r="D99" s="223"/>
      <c r="E99" s="223"/>
      <c r="G99" s="219"/>
      <c r="H99" s="230"/>
      <c r="I99" s="230"/>
      <c r="J99" s="219"/>
      <c r="K99" s="219"/>
      <c r="L99" s="219"/>
      <c r="M99" s="219"/>
      <c r="N99" s="219"/>
      <c r="O99" s="219"/>
    </row>
    <row r="100" spans="2:15" x14ac:dyDescent="0.45">
      <c r="B100" s="167"/>
      <c r="C100" s="218"/>
      <c r="D100" s="223"/>
      <c r="E100" s="223"/>
      <c r="G100" s="219"/>
      <c r="H100" s="230"/>
      <c r="I100" s="230"/>
      <c r="J100" s="219"/>
      <c r="K100" s="219"/>
      <c r="L100" s="219"/>
      <c r="M100" s="219"/>
      <c r="N100" s="219"/>
      <c r="O100" s="219"/>
    </row>
    <row r="101" spans="2:15" x14ac:dyDescent="0.45">
      <c r="B101" s="167"/>
      <c r="C101" s="218"/>
      <c r="D101" s="223"/>
      <c r="E101" s="223"/>
      <c r="G101" s="219"/>
      <c r="H101" s="230"/>
      <c r="I101" s="230"/>
      <c r="J101" s="219"/>
      <c r="K101" s="219"/>
      <c r="L101" s="219"/>
      <c r="M101" s="219"/>
      <c r="N101" s="219"/>
      <c r="O101" s="219"/>
    </row>
    <row r="102" spans="2:15" x14ac:dyDescent="0.45">
      <c r="B102" s="167"/>
      <c r="C102" s="218"/>
      <c r="D102" s="223"/>
      <c r="E102" s="223"/>
      <c r="G102" s="219"/>
      <c r="H102" s="230"/>
      <c r="I102" s="230"/>
      <c r="J102" s="219"/>
      <c r="K102" s="219"/>
      <c r="L102" s="219"/>
      <c r="M102" s="219"/>
      <c r="N102" s="219"/>
      <c r="O102" s="219"/>
    </row>
    <row r="103" spans="2:15" x14ac:dyDescent="0.45">
      <c r="B103" s="167"/>
      <c r="C103" s="218"/>
      <c r="D103" s="223"/>
      <c r="E103" s="223"/>
      <c r="G103" s="219"/>
      <c r="H103" s="230"/>
      <c r="I103" s="230"/>
      <c r="J103" s="219"/>
      <c r="K103" s="219"/>
      <c r="L103" s="219"/>
      <c r="M103" s="219"/>
      <c r="N103" s="219"/>
      <c r="O103" s="219"/>
    </row>
    <row r="104" spans="2:15" x14ac:dyDescent="0.45">
      <c r="B104" s="167"/>
      <c r="C104" s="218"/>
      <c r="D104" s="223"/>
      <c r="E104" s="223"/>
      <c r="G104" s="219"/>
      <c r="H104" s="230"/>
      <c r="I104" s="230"/>
      <c r="J104" s="219"/>
      <c r="K104" s="219"/>
      <c r="L104" s="219"/>
      <c r="M104" s="219"/>
      <c r="N104" s="219"/>
      <c r="O104" s="219"/>
    </row>
    <row r="105" spans="2:15" x14ac:dyDescent="0.45">
      <c r="B105" s="167"/>
      <c r="C105" s="218"/>
      <c r="D105" s="223"/>
      <c r="E105" s="223"/>
      <c r="G105" s="219"/>
      <c r="H105" s="230"/>
      <c r="I105" s="230"/>
      <c r="J105" s="219"/>
      <c r="K105" s="219"/>
      <c r="L105" s="219"/>
      <c r="M105" s="219"/>
      <c r="N105" s="219"/>
      <c r="O105" s="219"/>
    </row>
    <row r="106" spans="2:15" x14ac:dyDescent="0.45">
      <c r="B106" s="167"/>
      <c r="C106" s="218"/>
      <c r="D106" s="223"/>
      <c r="E106" s="223"/>
      <c r="G106" s="219"/>
      <c r="H106" s="230"/>
      <c r="I106" s="230"/>
      <c r="J106" s="219"/>
      <c r="K106" s="219"/>
      <c r="L106" s="219"/>
      <c r="M106" s="219"/>
      <c r="N106" s="219"/>
      <c r="O106" s="219"/>
    </row>
    <row r="107" spans="2:15" x14ac:dyDescent="0.45">
      <c r="B107" s="167"/>
      <c r="C107" s="218"/>
      <c r="D107" s="223"/>
      <c r="E107" s="223"/>
      <c r="G107" s="219"/>
      <c r="H107" s="230"/>
      <c r="I107" s="230"/>
      <c r="J107" s="219"/>
      <c r="K107" s="219"/>
      <c r="L107" s="219"/>
      <c r="M107" s="219"/>
      <c r="N107" s="219"/>
      <c r="O107" s="219"/>
    </row>
    <row r="108" spans="2:15" x14ac:dyDescent="0.45">
      <c r="B108" s="167"/>
      <c r="C108" s="218"/>
      <c r="D108" s="223"/>
      <c r="E108" s="223"/>
      <c r="G108" s="219"/>
      <c r="H108" s="230"/>
      <c r="I108" s="230"/>
      <c r="J108" s="219"/>
      <c r="K108" s="219"/>
      <c r="L108" s="219"/>
      <c r="M108" s="219"/>
      <c r="N108" s="219"/>
      <c r="O108" s="219"/>
    </row>
    <row r="109" spans="2:15" x14ac:dyDescent="0.45">
      <c r="B109" s="167"/>
      <c r="C109" s="218"/>
      <c r="D109" s="223"/>
      <c r="E109" s="223"/>
      <c r="G109" s="219"/>
      <c r="H109" s="230"/>
      <c r="I109" s="230"/>
      <c r="J109" s="219"/>
      <c r="K109" s="219"/>
      <c r="L109" s="219"/>
      <c r="M109" s="219"/>
      <c r="N109" s="219"/>
      <c r="O109" s="219"/>
    </row>
    <row r="110" spans="2:15" x14ac:dyDescent="0.45">
      <c r="B110" s="167"/>
      <c r="C110" s="218"/>
      <c r="D110" s="223"/>
      <c r="E110" s="223"/>
      <c r="G110" s="219"/>
      <c r="H110" s="230"/>
      <c r="I110" s="230"/>
      <c r="J110" s="219"/>
      <c r="K110" s="219"/>
      <c r="L110" s="219"/>
      <c r="M110" s="219"/>
      <c r="N110" s="219"/>
      <c r="O110" s="219"/>
    </row>
    <row r="111" spans="2:15" x14ac:dyDescent="0.45">
      <c r="B111" s="167"/>
      <c r="C111" s="218"/>
      <c r="D111" s="223"/>
      <c r="E111" s="223"/>
      <c r="G111" s="219"/>
      <c r="H111" s="230"/>
      <c r="I111" s="230"/>
      <c r="J111" s="219"/>
      <c r="K111" s="219"/>
      <c r="L111" s="219"/>
      <c r="M111" s="219"/>
      <c r="N111" s="219"/>
      <c r="O111" s="219"/>
    </row>
    <row r="112" spans="2:15" x14ac:dyDescent="0.45">
      <c r="B112" s="167"/>
      <c r="C112" s="218"/>
      <c r="D112" s="223"/>
      <c r="E112" s="223"/>
      <c r="G112" s="219"/>
      <c r="H112" s="230"/>
      <c r="I112" s="230"/>
      <c r="J112" s="219"/>
      <c r="K112" s="219"/>
      <c r="L112" s="219"/>
      <c r="M112" s="219"/>
      <c r="N112" s="219"/>
      <c r="O112" s="219"/>
    </row>
    <row r="113" spans="2:15" x14ac:dyDescent="0.45">
      <c r="B113" s="167"/>
      <c r="C113" s="218"/>
      <c r="D113" s="223"/>
      <c r="E113" s="223"/>
      <c r="G113" s="219"/>
      <c r="H113" s="230"/>
      <c r="I113" s="230"/>
      <c r="J113" s="219"/>
      <c r="K113" s="219"/>
      <c r="L113" s="219"/>
      <c r="M113" s="219"/>
      <c r="N113" s="219"/>
      <c r="O113" s="219"/>
    </row>
    <row r="114" spans="2:15" x14ac:dyDescent="0.45">
      <c r="B114" s="167"/>
      <c r="C114" s="218"/>
      <c r="D114" s="223"/>
      <c r="E114" s="223"/>
      <c r="G114" s="219"/>
      <c r="H114" s="230"/>
      <c r="I114" s="230"/>
      <c r="J114" s="219"/>
      <c r="K114" s="219"/>
      <c r="L114" s="219"/>
      <c r="M114" s="219"/>
      <c r="N114" s="219"/>
      <c r="O114" s="219"/>
    </row>
    <row r="115" spans="2:15" x14ac:dyDescent="0.45">
      <c r="B115" s="167"/>
      <c r="C115" s="218"/>
      <c r="D115" s="223"/>
      <c r="E115" s="223"/>
      <c r="G115" s="219"/>
      <c r="H115" s="230"/>
      <c r="I115" s="230"/>
      <c r="J115" s="219"/>
      <c r="K115" s="219"/>
      <c r="L115" s="219"/>
      <c r="M115" s="219"/>
      <c r="N115" s="219"/>
      <c r="O115" s="219"/>
    </row>
    <row r="116" spans="2:15" x14ac:dyDescent="0.45">
      <c r="B116" s="167"/>
      <c r="C116" s="218"/>
      <c r="D116" s="223"/>
      <c r="E116" s="223"/>
      <c r="G116" s="219"/>
      <c r="H116" s="230"/>
      <c r="I116" s="230"/>
      <c r="J116" s="219"/>
      <c r="K116" s="219"/>
      <c r="L116" s="219"/>
      <c r="M116" s="219"/>
      <c r="N116" s="219"/>
      <c r="O116" s="219"/>
    </row>
    <row r="117" spans="2:15" x14ac:dyDescent="0.45">
      <c r="B117" s="167"/>
      <c r="C117" s="218"/>
      <c r="D117" s="223"/>
      <c r="E117" s="223"/>
      <c r="G117" s="219"/>
      <c r="H117" s="230"/>
      <c r="I117" s="230"/>
      <c r="J117" s="219"/>
      <c r="K117" s="219"/>
      <c r="L117" s="219"/>
      <c r="M117" s="219"/>
      <c r="N117" s="219"/>
      <c r="O117" s="219"/>
    </row>
    <row r="118" spans="2:15" x14ac:dyDescent="0.45">
      <c r="B118" s="167"/>
      <c r="C118" s="218"/>
      <c r="D118" s="223"/>
      <c r="E118" s="223"/>
      <c r="G118" s="219"/>
      <c r="H118" s="230"/>
      <c r="I118" s="230"/>
      <c r="J118" s="219"/>
      <c r="K118" s="219"/>
      <c r="L118" s="219"/>
      <c r="M118" s="219"/>
      <c r="N118" s="219"/>
      <c r="O118" s="219"/>
    </row>
    <row r="119" spans="2:15" x14ac:dyDescent="0.45">
      <c r="B119" s="167"/>
      <c r="C119" s="218"/>
      <c r="D119" s="223"/>
      <c r="E119" s="223"/>
      <c r="G119" s="219"/>
      <c r="H119" s="230"/>
      <c r="I119" s="230"/>
      <c r="J119" s="219"/>
      <c r="K119" s="219"/>
      <c r="L119" s="219"/>
      <c r="M119" s="219"/>
      <c r="N119" s="219"/>
      <c r="O119" s="219"/>
    </row>
    <row r="120" spans="2:15" x14ac:dyDescent="0.45">
      <c r="B120" s="167"/>
      <c r="C120" s="218"/>
      <c r="D120" s="223"/>
      <c r="E120" s="223"/>
      <c r="G120" s="219"/>
      <c r="H120" s="230"/>
      <c r="I120" s="230"/>
      <c r="J120" s="219"/>
      <c r="K120" s="219"/>
      <c r="L120" s="219"/>
      <c r="M120" s="219"/>
      <c r="N120" s="219"/>
      <c r="O120" s="219"/>
    </row>
    <row r="121" spans="2:15" x14ac:dyDescent="0.45">
      <c r="B121" s="167"/>
      <c r="C121" s="218"/>
      <c r="D121" s="223"/>
      <c r="E121" s="223"/>
      <c r="G121" s="219"/>
      <c r="H121" s="230"/>
      <c r="I121" s="230"/>
      <c r="J121" s="219"/>
      <c r="K121" s="219"/>
      <c r="L121" s="219"/>
      <c r="M121" s="219"/>
      <c r="N121" s="219"/>
      <c r="O121" s="219"/>
    </row>
    <row r="122" spans="2:15" x14ac:dyDescent="0.45">
      <c r="B122" s="167"/>
      <c r="C122" s="218"/>
      <c r="D122" s="223"/>
      <c r="E122" s="223"/>
      <c r="G122" s="219"/>
      <c r="H122" s="230"/>
      <c r="I122" s="230"/>
      <c r="J122" s="219"/>
      <c r="K122" s="219"/>
      <c r="L122" s="219"/>
      <c r="M122" s="219"/>
      <c r="N122" s="219"/>
      <c r="O122" s="219"/>
    </row>
    <row r="123" spans="2:15" x14ac:dyDescent="0.45">
      <c r="B123" s="167"/>
      <c r="C123" s="218"/>
      <c r="D123" s="223"/>
      <c r="E123" s="223"/>
      <c r="G123" s="219"/>
      <c r="H123" s="230"/>
      <c r="I123" s="230"/>
      <c r="J123" s="219"/>
      <c r="K123" s="219"/>
      <c r="L123" s="219"/>
      <c r="M123" s="219"/>
      <c r="N123" s="219"/>
      <c r="O123" s="219"/>
    </row>
    <row r="124" spans="2:15" x14ac:dyDescent="0.45">
      <c r="B124" s="167"/>
      <c r="C124" s="218"/>
      <c r="D124" s="223"/>
      <c r="E124" s="223"/>
      <c r="G124" s="219"/>
      <c r="H124" s="230"/>
      <c r="I124" s="230"/>
      <c r="J124" s="219"/>
      <c r="K124" s="219"/>
      <c r="L124" s="219"/>
      <c r="M124" s="219"/>
      <c r="N124" s="219"/>
      <c r="O124" s="219"/>
    </row>
    <row r="125" spans="2:15" x14ac:dyDescent="0.45">
      <c r="B125" s="167"/>
      <c r="C125" s="218"/>
      <c r="D125" s="223"/>
      <c r="E125" s="223"/>
      <c r="G125" s="219"/>
      <c r="H125" s="230"/>
      <c r="I125" s="230"/>
      <c r="J125" s="219"/>
      <c r="K125" s="219"/>
      <c r="L125" s="219"/>
      <c r="M125" s="219"/>
      <c r="N125" s="219"/>
      <c r="O125" s="219"/>
    </row>
    <row r="126" spans="2:15" x14ac:dyDescent="0.45">
      <c r="B126" s="167"/>
      <c r="C126" s="218"/>
      <c r="D126" s="223"/>
      <c r="E126" s="223"/>
      <c r="G126" s="219"/>
      <c r="H126" s="230"/>
      <c r="I126" s="230"/>
      <c r="J126" s="219"/>
      <c r="K126" s="219"/>
      <c r="L126" s="219"/>
      <c r="M126" s="219"/>
      <c r="N126" s="219"/>
      <c r="O126" s="219"/>
    </row>
    <row r="127" spans="2:15" x14ac:dyDescent="0.45">
      <c r="B127" s="167"/>
      <c r="C127" s="218"/>
      <c r="D127" s="223"/>
      <c r="E127" s="223"/>
      <c r="G127" s="219"/>
      <c r="H127" s="230"/>
      <c r="I127" s="230"/>
      <c r="J127" s="219"/>
      <c r="K127" s="219"/>
      <c r="L127" s="219"/>
      <c r="M127" s="219"/>
      <c r="N127" s="219"/>
      <c r="O127" s="219"/>
    </row>
    <row r="128" spans="2:15" x14ac:dyDescent="0.45">
      <c r="B128" s="167"/>
      <c r="C128" s="218"/>
      <c r="D128" s="223"/>
      <c r="E128" s="223"/>
      <c r="G128" s="219"/>
      <c r="H128" s="230"/>
      <c r="I128" s="230"/>
      <c r="J128" s="219"/>
      <c r="K128" s="219"/>
      <c r="L128" s="219"/>
      <c r="M128" s="219"/>
      <c r="N128" s="219"/>
      <c r="O128" s="219"/>
    </row>
    <row r="129" spans="2:15" x14ac:dyDescent="0.45">
      <c r="B129" s="167"/>
      <c r="C129" s="218"/>
      <c r="D129" s="223"/>
      <c r="E129" s="223"/>
      <c r="G129" s="219"/>
      <c r="H129" s="230"/>
      <c r="I129" s="230"/>
      <c r="J129" s="219"/>
      <c r="K129" s="219"/>
      <c r="L129" s="219"/>
      <c r="M129" s="219"/>
      <c r="N129" s="219"/>
      <c r="O129" s="219"/>
    </row>
    <row r="130" spans="2:15" x14ac:dyDescent="0.45">
      <c r="B130" s="167"/>
      <c r="C130" s="218"/>
      <c r="D130" s="223"/>
      <c r="E130" s="223"/>
      <c r="G130" s="219"/>
      <c r="H130" s="230"/>
      <c r="I130" s="230"/>
      <c r="J130" s="219"/>
      <c r="K130" s="219"/>
      <c r="L130" s="219"/>
      <c r="M130" s="219"/>
      <c r="N130" s="219"/>
      <c r="O130" s="219"/>
    </row>
    <row r="131" spans="2:15" x14ac:dyDescent="0.45">
      <c r="B131" s="167"/>
      <c r="C131" s="218"/>
      <c r="D131" s="223"/>
      <c r="E131" s="223"/>
      <c r="G131" s="219"/>
      <c r="H131" s="230"/>
      <c r="I131" s="230"/>
      <c r="J131" s="219"/>
      <c r="K131" s="219"/>
      <c r="L131" s="219"/>
      <c r="M131" s="219"/>
      <c r="N131" s="219"/>
      <c r="O131" s="219"/>
    </row>
    <row r="132" spans="2:15" x14ac:dyDescent="0.45">
      <c r="B132" s="167"/>
      <c r="C132" s="218"/>
      <c r="D132" s="223"/>
      <c r="E132" s="223"/>
      <c r="G132" s="219"/>
      <c r="H132" s="230"/>
      <c r="I132" s="230"/>
      <c r="J132" s="219"/>
      <c r="K132" s="219"/>
      <c r="L132" s="219"/>
      <c r="M132" s="219"/>
      <c r="N132" s="219"/>
      <c r="O132" s="219"/>
    </row>
    <row r="133" spans="2:15" x14ac:dyDescent="0.45">
      <c r="B133" s="167"/>
      <c r="C133" s="218"/>
      <c r="D133" s="223"/>
      <c r="E133" s="223"/>
      <c r="G133" s="219"/>
      <c r="H133" s="230"/>
      <c r="I133" s="230"/>
      <c r="J133" s="219"/>
      <c r="K133" s="219"/>
      <c r="L133" s="219"/>
      <c r="M133" s="219"/>
      <c r="N133" s="219"/>
      <c r="O133" s="219"/>
    </row>
    <row r="134" spans="2:15" x14ac:dyDescent="0.45">
      <c r="B134" s="167"/>
      <c r="C134" s="218"/>
      <c r="D134" s="223"/>
      <c r="E134" s="223"/>
      <c r="G134" s="219"/>
      <c r="H134" s="230"/>
      <c r="I134" s="230"/>
      <c r="J134" s="219"/>
      <c r="K134" s="219"/>
      <c r="L134" s="219"/>
      <c r="M134" s="219"/>
      <c r="N134" s="219"/>
      <c r="O134" s="219"/>
    </row>
    <row r="135" spans="2:15" x14ac:dyDescent="0.45">
      <c r="B135" s="167"/>
      <c r="C135" s="218"/>
      <c r="D135" s="223"/>
      <c r="E135" s="223"/>
      <c r="G135" s="219"/>
      <c r="H135" s="230"/>
      <c r="I135" s="230"/>
      <c r="J135" s="219"/>
      <c r="K135" s="219"/>
      <c r="L135" s="219"/>
      <c r="M135" s="219"/>
      <c r="N135" s="219"/>
      <c r="O135" s="219"/>
    </row>
    <row r="136" spans="2:15" x14ac:dyDescent="0.45">
      <c r="B136" s="167"/>
      <c r="C136" s="218"/>
      <c r="D136" s="223"/>
      <c r="E136" s="223"/>
      <c r="G136" s="219"/>
      <c r="H136" s="230"/>
      <c r="I136" s="230"/>
      <c r="J136" s="219"/>
      <c r="K136" s="219"/>
      <c r="L136" s="219"/>
      <c r="M136" s="219"/>
      <c r="N136" s="219"/>
      <c r="O136" s="219"/>
    </row>
    <row r="137" spans="2:15" x14ac:dyDescent="0.45">
      <c r="B137" s="167"/>
      <c r="C137" s="218"/>
      <c r="D137" s="223"/>
      <c r="E137" s="223"/>
      <c r="G137" s="219"/>
      <c r="H137" s="230"/>
      <c r="I137" s="230"/>
      <c r="J137" s="219"/>
      <c r="K137" s="219"/>
      <c r="L137" s="219"/>
      <c r="M137" s="219"/>
      <c r="N137" s="219"/>
      <c r="O137" s="219"/>
    </row>
    <row r="138" spans="2:15" x14ac:dyDescent="0.45">
      <c r="B138" s="167"/>
      <c r="C138" s="218"/>
      <c r="D138" s="223"/>
      <c r="E138" s="223"/>
      <c r="G138" s="219"/>
      <c r="H138" s="230"/>
      <c r="I138" s="230"/>
      <c r="J138" s="219"/>
      <c r="K138" s="219"/>
      <c r="L138" s="219"/>
      <c r="M138" s="219"/>
      <c r="N138" s="219"/>
      <c r="O138" s="219"/>
    </row>
    <row r="139" spans="2:15" x14ac:dyDescent="0.45">
      <c r="B139" s="167"/>
      <c r="C139" s="218"/>
      <c r="D139" s="223"/>
      <c r="E139" s="223"/>
      <c r="G139" s="219"/>
      <c r="H139" s="230"/>
      <c r="I139" s="230"/>
      <c r="J139" s="219"/>
      <c r="K139" s="219"/>
      <c r="L139" s="219"/>
      <c r="M139" s="219"/>
      <c r="N139" s="219"/>
      <c r="O139" s="219"/>
    </row>
    <row r="140" spans="2:15" x14ac:dyDescent="0.45">
      <c r="B140" s="167"/>
      <c r="C140" s="218"/>
      <c r="D140" s="223"/>
      <c r="E140" s="223"/>
      <c r="G140" s="219"/>
      <c r="H140" s="230"/>
      <c r="I140" s="230"/>
      <c r="J140" s="219"/>
      <c r="K140" s="219"/>
      <c r="L140" s="219"/>
      <c r="M140" s="219"/>
      <c r="N140" s="219"/>
      <c r="O140" s="219"/>
    </row>
    <row r="141" spans="2:15" x14ac:dyDescent="0.45">
      <c r="B141" s="167"/>
      <c r="C141" s="218"/>
      <c r="D141" s="223"/>
      <c r="E141" s="223"/>
      <c r="G141" s="219"/>
      <c r="H141" s="230"/>
      <c r="I141" s="230"/>
      <c r="J141" s="219"/>
      <c r="K141" s="219"/>
      <c r="L141" s="219"/>
      <c r="M141" s="219"/>
      <c r="N141" s="219"/>
      <c r="O141" s="219"/>
    </row>
    <row r="142" spans="2:15" x14ac:dyDescent="0.45">
      <c r="B142" s="167"/>
      <c r="C142" s="218"/>
      <c r="D142" s="223"/>
      <c r="E142" s="223"/>
      <c r="G142" s="219"/>
      <c r="H142" s="230"/>
      <c r="I142" s="230"/>
      <c r="J142" s="219"/>
      <c r="K142" s="219"/>
      <c r="L142" s="219"/>
      <c r="M142" s="219"/>
      <c r="N142" s="219"/>
      <c r="O142" s="219"/>
    </row>
    <row r="143" spans="2:15" x14ac:dyDescent="0.45">
      <c r="B143" s="167"/>
      <c r="C143" s="218"/>
      <c r="D143" s="223"/>
      <c r="E143" s="223"/>
      <c r="G143" s="219"/>
      <c r="H143" s="230"/>
      <c r="I143" s="230"/>
      <c r="J143" s="219"/>
      <c r="K143" s="219"/>
      <c r="L143" s="219"/>
      <c r="M143" s="219"/>
      <c r="N143" s="219"/>
      <c r="O143" s="219"/>
    </row>
    <row r="144" spans="2:15" x14ac:dyDescent="0.45">
      <c r="B144" s="167"/>
      <c r="C144" s="218"/>
      <c r="D144" s="223"/>
      <c r="E144" s="223"/>
      <c r="G144" s="219"/>
      <c r="H144" s="230"/>
      <c r="I144" s="230"/>
      <c r="J144" s="219"/>
      <c r="K144" s="219"/>
      <c r="L144" s="219"/>
      <c r="M144" s="219"/>
      <c r="N144" s="219"/>
      <c r="O144" s="219"/>
    </row>
    <row r="145" spans="2:15" x14ac:dyDescent="0.45">
      <c r="B145" s="167"/>
      <c r="C145" s="218"/>
      <c r="D145" s="223"/>
      <c r="E145" s="223"/>
      <c r="G145" s="219"/>
      <c r="H145" s="230"/>
      <c r="I145" s="230"/>
      <c r="J145" s="219"/>
      <c r="K145" s="219"/>
      <c r="L145" s="219"/>
      <c r="M145" s="219"/>
      <c r="N145" s="219"/>
      <c r="O145" s="219"/>
    </row>
    <row r="146" spans="2:15" x14ac:dyDescent="0.45">
      <c r="B146" s="167"/>
      <c r="C146" s="218"/>
      <c r="D146" s="223"/>
      <c r="E146" s="223"/>
      <c r="G146" s="219"/>
      <c r="H146" s="230"/>
      <c r="I146" s="230"/>
      <c r="J146" s="219"/>
      <c r="K146" s="219"/>
      <c r="L146" s="219"/>
      <c r="M146" s="219"/>
      <c r="N146" s="219"/>
      <c r="O146" s="219"/>
    </row>
    <row r="147" spans="2:15" x14ac:dyDescent="0.45">
      <c r="B147" s="167"/>
      <c r="C147" s="218"/>
      <c r="D147" s="223"/>
      <c r="E147" s="223"/>
      <c r="G147" s="219"/>
      <c r="H147" s="230"/>
      <c r="I147" s="230"/>
      <c r="J147" s="219"/>
      <c r="K147" s="219"/>
      <c r="L147" s="219"/>
      <c r="M147" s="219"/>
      <c r="N147" s="219"/>
      <c r="O147" s="219"/>
    </row>
    <row r="148" spans="2:15" x14ac:dyDescent="0.45">
      <c r="B148" s="167"/>
      <c r="C148" s="218"/>
      <c r="D148" s="223"/>
      <c r="E148" s="223"/>
      <c r="G148" s="219"/>
      <c r="H148" s="230"/>
      <c r="I148" s="230"/>
      <c r="J148" s="219"/>
      <c r="K148" s="219"/>
      <c r="L148" s="219"/>
      <c r="M148" s="219"/>
      <c r="N148" s="219"/>
      <c r="O148" s="219"/>
    </row>
    <row r="149" spans="2:15" x14ac:dyDescent="0.45">
      <c r="B149" s="167"/>
      <c r="C149" s="218"/>
      <c r="D149" s="223"/>
      <c r="E149" s="223"/>
      <c r="G149" s="219"/>
      <c r="H149" s="230"/>
      <c r="I149" s="230"/>
      <c r="J149" s="219"/>
      <c r="K149" s="219"/>
      <c r="L149" s="219"/>
      <c r="M149" s="219"/>
      <c r="N149" s="219"/>
      <c r="O149" s="219"/>
    </row>
    <row r="150" spans="2:15" x14ac:dyDescent="0.45">
      <c r="B150" s="167"/>
      <c r="C150" s="218"/>
      <c r="D150" s="223"/>
      <c r="E150" s="223"/>
      <c r="G150" s="219"/>
      <c r="H150" s="230"/>
      <c r="I150" s="230"/>
      <c r="J150" s="219"/>
      <c r="K150" s="219"/>
      <c r="L150" s="219"/>
      <c r="M150" s="219"/>
      <c r="N150" s="219"/>
      <c r="O150" s="219"/>
    </row>
    <row r="151" spans="2:15" x14ac:dyDescent="0.45">
      <c r="B151" s="167"/>
      <c r="C151" s="218"/>
      <c r="D151" s="223"/>
      <c r="E151" s="223"/>
      <c r="G151" s="219"/>
      <c r="H151" s="230"/>
      <c r="I151" s="230"/>
      <c r="J151" s="219"/>
      <c r="K151" s="219"/>
      <c r="L151" s="219"/>
      <c r="M151" s="219"/>
      <c r="N151" s="219"/>
      <c r="O151" s="219"/>
    </row>
    <row r="152" spans="2:15" x14ac:dyDescent="0.45">
      <c r="B152" s="167"/>
      <c r="C152" s="218"/>
      <c r="D152" s="223"/>
      <c r="E152" s="223"/>
      <c r="G152" s="219"/>
      <c r="H152" s="230"/>
      <c r="I152" s="230"/>
      <c r="J152" s="219"/>
      <c r="K152" s="219"/>
      <c r="L152" s="219"/>
      <c r="M152" s="219"/>
      <c r="N152" s="219"/>
      <c r="O152" s="219"/>
    </row>
    <row r="153" spans="2:15" x14ac:dyDescent="0.45">
      <c r="B153" s="167"/>
      <c r="C153" s="218"/>
      <c r="D153" s="223"/>
      <c r="E153" s="223"/>
      <c r="G153" s="219"/>
      <c r="H153" s="230"/>
      <c r="I153" s="230"/>
      <c r="J153" s="219"/>
      <c r="K153" s="219"/>
      <c r="L153" s="219"/>
      <c r="M153" s="219"/>
      <c r="N153" s="219"/>
      <c r="O153" s="219"/>
    </row>
    <row r="154" spans="2:15" x14ac:dyDescent="0.45">
      <c r="B154" s="167"/>
      <c r="C154" s="218"/>
      <c r="D154" s="223"/>
      <c r="E154" s="223"/>
      <c r="G154" s="219"/>
      <c r="H154" s="230"/>
      <c r="I154" s="230"/>
      <c r="J154" s="219"/>
      <c r="K154" s="219"/>
      <c r="L154" s="219"/>
      <c r="M154" s="219"/>
      <c r="N154" s="219"/>
      <c r="O154" s="219"/>
    </row>
    <row r="155" spans="2:15" x14ac:dyDescent="0.45">
      <c r="B155" s="167"/>
      <c r="C155" s="218"/>
      <c r="D155" s="223"/>
      <c r="E155" s="223"/>
      <c r="G155" s="219"/>
      <c r="H155" s="230"/>
      <c r="I155" s="230"/>
      <c r="J155" s="219"/>
      <c r="K155" s="219"/>
      <c r="L155" s="219"/>
      <c r="M155" s="219"/>
      <c r="N155" s="219"/>
      <c r="O155" s="219"/>
    </row>
    <row r="156" spans="2:15" x14ac:dyDescent="0.45">
      <c r="B156" s="167"/>
      <c r="C156" s="218"/>
      <c r="D156" s="223"/>
      <c r="E156" s="223"/>
      <c r="G156" s="219"/>
      <c r="H156" s="230"/>
      <c r="I156" s="230"/>
      <c r="J156" s="219"/>
      <c r="K156" s="219"/>
      <c r="L156" s="219"/>
      <c r="M156" s="219"/>
      <c r="N156" s="219"/>
      <c r="O156" s="219"/>
    </row>
    <row r="157" spans="2:15" x14ac:dyDescent="0.45">
      <c r="B157" s="167"/>
      <c r="C157" s="218"/>
      <c r="D157" s="223"/>
      <c r="E157" s="223"/>
      <c r="G157" s="219"/>
      <c r="H157" s="230"/>
      <c r="I157" s="230"/>
      <c r="J157" s="219"/>
      <c r="K157" s="219"/>
      <c r="L157" s="219"/>
      <c r="M157" s="219"/>
      <c r="N157" s="219"/>
      <c r="O157" s="219"/>
    </row>
    <row r="158" spans="2:15" x14ac:dyDescent="0.45">
      <c r="B158" s="167"/>
      <c r="C158" s="218"/>
      <c r="D158" s="223"/>
      <c r="E158" s="223"/>
      <c r="G158" s="219"/>
      <c r="H158" s="230"/>
      <c r="I158" s="230"/>
      <c r="J158" s="219"/>
      <c r="K158" s="219"/>
      <c r="L158" s="219"/>
      <c r="M158" s="219"/>
      <c r="N158" s="219"/>
      <c r="O158" s="219"/>
    </row>
    <row r="159" spans="2:15" x14ac:dyDescent="0.45">
      <c r="B159" s="167"/>
      <c r="C159" s="218"/>
      <c r="D159" s="223"/>
      <c r="E159" s="223"/>
      <c r="G159" s="219"/>
      <c r="H159" s="230"/>
      <c r="I159" s="230"/>
      <c r="J159" s="219"/>
      <c r="K159" s="219"/>
      <c r="L159" s="219"/>
      <c r="M159" s="219"/>
      <c r="N159" s="219"/>
      <c r="O159" s="219"/>
    </row>
    <row r="160" spans="2:15" x14ac:dyDescent="0.45">
      <c r="B160" s="167"/>
      <c r="C160" s="218"/>
      <c r="D160" s="223"/>
      <c r="E160" s="223"/>
      <c r="G160" s="219"/>
      <c r="H160" s="230"/>
      <c r="I160" s="230"/>
      <c r="J160" s="219"/>
      <c r="K160" s="219"/>
      <c r="L160" s="219"/>
      <c r="M160" s="219"/>
      <c r="N160" s="219"/>
      <c r="O160" s="219"/>
    </row>
    <row r="161" spans="2:15" x14ac:dyDescent="0.45">
      <c r="B161" s="167"/>
      <c r="C161" s="218"/>
      <c r="D161" s="223"/>
      <c r="E161" s="223"/>
      <c r="G161" s="219"/>
      <c r="H161" s="230"/>
      <c r="I161" s="230"/>
      <c r="J161" s="219"/>
      <c r="K161" s="219"/>
      <c r="L161" s="219"/>
      <c r="M161" s="219"/>
      <c r="N161" s="219"/>
      <c r="O161" s="219"/>
    </row>
    <row r="162" spans="2:15" x14ac:dyDescent="0.45">
      <c r="B162" s="167"/>
      <c r="C162" s="218"/>
      <c r="D162" s="223"/>
      <c r="E162" s="223"/>
      <c r="G162" s="219"/>
      <c r="H162" s="230"/>
      <c r="I162" s="230"/>
      <c r="J162" s="219"/>
      <c r="K162" s="219"/>
      <c r="L162" s="219"/>
      <c r="M162" s="219"/>
      <c r="N162" s="219"/>
      <c r="O162" s="219"/>
    </row>
    <row r="163" spans="2:15" x14ac:dyDescent="0.45">
      <c r="B163" s="167"/>
      <c r="C163" s="218"/>
      <c r="D163" s="223"/>
      <c r="E163" s="223"/>
      <c r="G163" s="219"/>
      <c r="H163" s="230"/>
      <c r="I163" s="230"/>
      <c r="J163" s="219"/>
      <c r="K163" s="219"/>
      <c r="L163" s="219"/>
      <c r="M163" s="219"/>
      <c r="N163" s="219"/>
      <c r="O163" s="219"/>
    </row>
    <row r="164" spans="2:15" x14ac:dyDescent="0.45">
      <c r="B164" s="167"/>
      <c r="C164" s="218"/>
      <c r="D164" s="223"/>
      <c r="E164" s="223"/>
      <c r="G164" s="219"/>
      <c r="H164" s="230"/>
      <c r="I164" s="230"/>
      <c r="J164" s="219"/>
      <c r="K164" s="219"/>
      <c r="L164" s="219"/>
      <c r="M164" s="219"/>
      <c r="N164" s="219"/>
      <c r="O164" s="219"/>
    </row>
    <row r="165" spans="2:15" x14ac:dyDescent="0.45">
      <c r="B165" s="167"/>
      <c r="C165" s="218"/>
      <c r="D165" s="223"/>
      <c r="E165" s="223"/>
      <c r="G165" s="219"/>
      <c r="H165" s="230"/>
      <c r="I165" s="230"/>
      <c r="J165" s="219"/>
      <c r="K165" s="219"/>
      <c r="L165" s="219"/>
      <c r="M165" s="219"/>
      <c r="N165" s="219"/>
      <c r="O165" s="219"/>
    </row>
    <row r="166" spans="2:15" x14ac:dyDescent="0.45">
      <c r="B166" s="167"/>
      <c r="C166" s="218"/>
      <c r="D166" s="223"/>
      <c r="E166" s="223"/>
      <c r="G166" s="219"/>
      <c r="H166" s="230"/>
      <c r="I166" s="230"/>
      <c r="J166" s="219"/>
      <c r="K166" s="219"/>
      <c r="L166" s="219"/>
      <c r="M166" s="219"/>
      <c r="N166" s="219"/>
      <c r="O166" s="219"/>
    </row>
    <row r="167" spans="2:15" x14ac:dyDescent="0.45">
      <c r="B167" s="167"/>
      <c r="C167" s="218"/>
      <c r="D167" s="223"/>
      <c r="E167" s="223"/>
      <c r="G167" s="219"/>
      <c r="H167" s="230"/>
      <c r="I167" s="230"/>
      <c r="J167" s="219"/>
      <c r="K167" s="219"/>
      <c r="L167" s="219"/>
      <c r="M167" s="219"/>
      <c r="N167" s="219"/>
      <c r="O167" s="219"/>
    </row>
    <row r="168" spans="2:15" x14ac:dyDescent="0.45">
      <c r="B168" s="167"/>
      <c r="C168" s="218"/>
      <c r="D168" s="223"/>
      <c r="E168" s="223"/>
      <c r="G168" s="219"/>
      <c r="H168" s="230"/>
      <c r="I168" s="230"/>
      <c r="J168" s="219"/>
      <c r="K168" s="219"/>
      <c r="L168" s="219"/>
      <c r="M168" s="219"/>
      <c r="N168" s="219"/>
      <c r="O168" s="219"/>
    </row>
    <row r="169" spans="2:15" x14ac:dyDescent="0.45">
      <c r="B169" s="167"/>
      <c r="C169" s="218"/>
      <c r="D169" s="223"/>
      <c r="E169" s="223"/>
      <c r="G169" s="219"/>
      <c r="H169" s="230"/>
      <c r="I169" s="230"/>
      <c r="J169" s="219"/>
      <c r="K169" s="219"/>
      <c r="L169" s="219"/>
      <c r="M169" s="219"/>
      <c r="N169" s="219"/>
      <c r="O169" s="219"/>
    </row>
    <row r="170" spans="2:15" x14ac:dyDescent="0.45">
      <c r="B170" s="167"/>
      <c r="C170" s="218"/>
      <c r="D170" s="223"/>
      <c r="E170" s="223"/>
      <c r="G170" s="219"/>
      <c r="H170" s="230"/>
      <c r="I170" s="230"/>
      <c r="J170" s="219"/>
      <c r="K170" s="219"/>
      <c r="L170" s="219"/>
      <c r="M170" s="219"/>
      <c r="N170" s="219"/>
      <c r="O170" s="219"/>
    </row>
    <row r="171" spans="2:15" x14ac:dyDescent="0.45">
      <c r="B171" s="167"/>
      <c r="C171" s="218"/>
      <c r="D171" s="223"/>
      <c r="E171" s="223"/>
      <c r="G171" s="219"/>
      <c r="H171" s="230"/>
      <c r="I171" s="230"/>
      <c r="J171" s="219"/>
      <c r="K171" s="219"/>
      <c r="L171" s="219"/>
      <c r="M171" s="219"/>
      <c r="N171" s="219"/>
      <c r="O171" s="219"/>
    </row>
    <row r="172" spans="2:15" x14ac:dyDescent="0.45">
      <c r="B172" s="167"/>
      <c r="C172" s="218"/>
      <c r="D172" s="223"/>
      <c r="E172" s="223"/>
      <c r="G172" s="219"/>
      <c r="H172" s="230"/>
      <c r="I172" s="230"/>
      <c r="J172" s="219"/>
      <c r="K172" s="219"/>
      <c r="L172" s="219"/>
      <c r="M172" s="219"/>
      <c r="N172" s="219"/>
      <c r="O172" s="219"/>
    </row>
    <row r="173" spans="2:15" x14ac:dyDescent="0.45">
      <c r="B173" s="167"/>
      <c r="C173" s="218"/>
      <c r="D173" s="223"/>
      <c r="E173" s="223"/>
      <c r="G173" s="219"/>
      <c r="H173" s="230"/>
      <c r="I173" s="230"/>
      <c r="J173" s="219"/>
      <c r="K173" s="219"/>
      <c r="L173" s="219"/>
      <c r="M173" s="219"/>
      <c r="N173" s="219"/>
      <c r="O173" s="219"/>
    </row>
    <row r="174" spans="2:15" x14ac:dyDescent="0.45">
      <c r="B174" s="167"/>
      <c r="C174" s="218"/>
      <c r="D174" s="223"/>
      <c r="E174" s="223"/>
      <c r="G174" s="219"/>
      <c r="H174" s="230"/>
      <c r="I174" s="230"/>
      <c r="J174" s="219"/>
      <c r="K174" s="219"/>
      <c r="L174" s="219"/>
      <c r="M174" s="219"/>
      <c r="N174" s="219"/>
      <c r="O174" s="219"/>
    </row>
    <row r="175" spans="2:15" x14ac:dyDescent="0.45">
      <c r="B175" s="167"/>
      <c r="C175" s="218"/>
      <c r="D175" s="223"/>
      <c r="E175" s="223"/>
      <c r="G175" s="219"/>
      <c r="H175" s="230"/>
      <c r="I175" s="230"/>
      <c r="J175" s="219"/>
      <c r="K175" s="219"/>
      <c r="L175" s="219"/>
      <c r="M175" s="219"/>
      <c r="N175" s="219"/>
      <c r="O175" s="219"/>
    </row>
  </sheetData>
  <sheetProtection password="DA43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setSheet10" altText="Reset Form">
                <anchor moveWithCells="1" sizeWithCells="1">
                  <from>
                    <xdr:col>6</xdr:col>
                    <xdr:colOff>376238</xdr:colOff>
                    <xdr:row>2</xdr:row>
                    <xdr:rowOff>76200</xdr:rowOff>
                  </from>
                  <to>
                    <xdr:col>6</xdr:col>
                    <xdr:colOff>1185863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00B0F0"/>
  </sheetPr>
  <dimension ref="A1:J45"/>
  <sheetViews>
    <sheetView showGridLines="0" showRowColHeaders="0" zoomScaleNormal="100" workbookViewId="0">
      <pane ySplit="6" topLeftCell="A7" activePane="bottomLeft" state="frozen"/>
      <selection activeCell="A3" sqref="A3"/>
      <selection pane="bottomLeft"/>
    </sheetView>
  </sheetViews>
  <sheetFormatPr defaultRowHeight="14.25" x14ac:dyDescent="0.45"/>
  <cols>
    <col min="1" max="1" width="1.9296875" style="122" customWidth="1"/>
    <col min="2" max="2" width="5.9296875" style="122" customWidth="1"/>
    <col min="3" max="3" width="12.9296875" style="122" customWidth="1"/>
    <col min="4" max="4" width="16.59765625" style="122" customWidth="1"/>
    <col min="5" max="5" width="18.19921875" style="122" customWidth="1"/>
    <col min="6" max="6" width="116.59765625" style="122" customWidth="1"/>
    <col min="7" max="7" width="6.59765625" style="122" hidden="1" customWidth="1"/>
    <col min="8" max="8" width="13.19921875" style="122" hidden="1" customWidth="1"/>
    <col min="9" max="9" width="27.59765625" style="122" hidden="1" customWidth="1"/>
    <col min="10" max="10" width="11.06640625" style="122" hidden="1" customWidth="1"/>
    <col min="11" max="16384" width="9.06640625" style="122"/>
  </cols>
  <sheetData>
    <row r="1" spans="1:10" ht="14.65" thickBot="1" x14ac:dyDescent="0.5">
      <c r="A1" s="116"/>
      <c r="B1" s="117"/>
      <c r="C1" s="118" t="s">
        <v>325</v>
      </c>
      <c r="D1" s="119"/>
      <c r="E1" s="119"/>
      <c r="F1" s="120"/>
      <c r="G1" s="120"/>
      <c r="H1" s="210"/>
      <c r="I1" s="116"/>
      <c r="J1" s="121"/>
    </row>
    <row r="2" spans="1:10" ht="18.399999999999999" thickBot="1" x14ac:dyDescent="0.6">
      <c r="A2" s="116"/>
      <c r="B2" s="123"/>
      <c r="C2" s="124" t="s">
        <v>323</v>
      </c>
      <c r="D2" s="116"/>
      <c r="E2" s="116"/>
      <c r="F2" s="125" t="s">
        <v>415</v>
      </c>
      <c r="G2" s="125"/>
      <c r="H2" s="210"/>
      <c r="I2" s="116"/>
      <c r="J2" s="121"/>
    </row>
    <row r="3" spans="1:10" ht="16.149999999999999" thickBot="1" x14ac:dyDescent="0.55000000000000004">
      <c r="A3" s="116"/>
      <c r="B3" s="123"/>
      <c r="C3" s="126" t="s">
        <v>324</v>
      </c>
      <c r="D3" s="127"/>
      <c r="E3" s="127"/>
      <c r="F3" s="128" t="s">
        <v>370</v>
      </c>
      <c r="G3" s="128"/>
      <c r="H3" s="210"/>
      <c r="I3" s="116"/>
      <c r="J3" s="121"/>
    </row>
    <row r="4" spans="1:10" ht="14.65" thickBot="1" x14ac:dyDescent="0.5">
      <c r="A4" s="116"/>
      <c r="B4" s="123"/>
      <c r="C4" s="129" t="s">
        <v>322</v>
      </c>
      <c r="D4" s="260"/>
      <c r="E4" s="116"/>
      <c r="F4" s="130"/>
      <c r="G4" s="130"/>
      <c r="H4" s="210"/>
      <c r="I4" s="116"/>
      <c r="J4" s="121"/>
    </row>
    <row r="5" spans="1:10" ht="14.65" thickBot="1" x14ac:dyDescent="0.5">
      <c r="A5" s="116"/>
      <c r="B5" s="117"/>
      <c r="C5" s="300">
        <f>General!I6</f>
        <v>2016</v>
      </c>
      <c r="D5" s="119"/>
      <c r="E5" s="119"/>
      <c r="F5" s="120"/>
      <c r="G5" s="120"/>
      <c r="H5" s="210"/>
      <c r="I5" s="116"/>
      <c r="J5" s="121"/>
    </row>
    <row r="6" spans="1:10" s="316" customFormat="1" ht="29.25" thickTop="1" thickBot="1" x14ac:dyDescent="0.5">
      <c r="A6" s="315"/>
      <c r="B6" s="318" t="s">
        <v>214</v>
      </c>
      <c r="C6" s="319" t="s">
        <v>215</v>
      </c>
      <c r="D6" s="322" t="s">
        <v>369</v>
      </c>
      <c r="E6" s="320" t="s">
        <v>166</v>
      </c>
      <c r="F6" s="321" t="s">
        <v>100</v>
      </c>
      <c r="G6" s="344"/>
      <c r="H6" s="314" t="s">
        <v>224</v>
      </c>
      <c r="I6" s="314" t="s">
        <v>223</v>
      </c>
      <c r="J6" s="317" t="s">
        <v>222</v>
      </c>
    </row>
    <row r="7" spans="1:10" ht="16.05" customHeight="1" thickTop="1" thickBot="1" x14ac:dyDescent="0.5">
      <c r="B7" s="117">
        <v>1</v>
      </c>
      <c r="C7" s="263"/>
      <c r="D7" s="326" t="s">
        <v>363</v>
      </c>
      <c r="E7" s="327" t="s">
        <v>296</v>
      </c>
      <c r="F7" s="328" t="s">
        <v>424</v>
      </c>
      <c r="G7" s="163"/>
      <c r="H7" s="131" t="s">
        <v>178</v>
      </c>
      <c r="I7" s="132" t="s">
        <v>29</v>
      </c>
      <c r="J7" s="133" t="str">
        <f>IF(C7="Yes",H7,H8)</f>
        <v>No</v>
      </c>
    </row>
    <row r="8" spans="1:10" ht="16.05" customHeight="1" thickBot="1" x14ac:dyDescent="0.5">
      <c r="B8" s="117">
        <v>2</v>
      </c>
      <c r="C8" s="264"/>
      <c r="D8" s="329" t="s">
        <v>363</v>
      </c>
      <c r="E8" s="330" t="s">
        <v>296</v>
      </c>
      <c r="F8" s="331" t="s">
        <v>425</v>
      </c>
      <c r="G8" s="163"/>
      <c r="H8" s="134" t="s">
        <v>179</v>
      </c>
      <c r="I8" s="135" t="s">
        <v>30</v>
      </c>
      <c r="J8" s="136" t="str">
        <f>IF(C7="No",H8,H7)</f>
        <v>Yes</v>
      </c>
    </row>
    <row r="9" spans="1:10" ht="16.05" customHeight="1" thickTop="1" thickBot="1" x14ac:dyDescent="0.5">
      <c r="B9" s="117">
        <v>3</v>
      </c>
      <c r="C9" s="264"/>
      <c r="D9" s="329" t="s">
        <v>363</v>
      </c>
      <c r="E9" s="330" t="s">
        <v>296</v>
      </c>
      <c r="F9" s="331" t="s">
        <v>426</v>
      </c>
      <c r="G9" s="163"/>
      <c r="H9" s="131" t="s">
        <v>178</v>
      </c>
      <c r="I9" s="132" t="s">
        <v>31</v>
      </c>
      <c r="J9" s="133" t="str">
        <f>IF(C8="Yes",H9,H10)</f>
        <v>No</v>
      </c>
    </row>
    <row r="10" spans="1:10" ht="16.05" customHeight="1" thickBot="1" x14ac:dyDescent="0.5">
      <c r="B10" s="117">
        <v>4</v>
      </c>
      <c r="C10" s="265"/>
      <c r="D10" s="330" t="s">
        <v>368</v>
      </c>
      <c r="E10" s="330"/>
      <c r="F10" s="331" t="s">
        <v>427</v>
      </c>
      <c r="G10" s="163"/>
      <c r="H10" s="134" t="s">
        <v>179</v>
      </c>
      <c r="I10" s="135" t="s">
        <v>32</v>
      </c>
      <c r="J10" s="136" t="str">
        <f>IF(C8="No",H10,H9)</f>
        <v>Yes</v>
      </c>
    </row>
    <row r="11" spans="1:10" ht="16.05" customHeight="1" thickTop="1" thickBot="1" x14ac:dyDescent="0.5">
      <c r="B11" s="117">
        <v>5</v>
      </c>
      <c r="C11" s="264"/>
      <c r="D11" s="329" t="s">
        <v>363</v>
      </c>
      <c r="E11" s="330" t="s">
        <v>296</v>
      </c>
      <c r="F11" s="331" t="s">
        <v>428</v>
      </c>
      <c r="G11" s="163"/>
      <c r="H11" s="131" t="s">
        <v>178</v>
      </c>
      <c r="I11" s="132" t="s">
        <v>33</v>
      </c>
      <c r="J11" s="133" t="str">
        <f>IF(C9="Yes",H11,H12)</f>
        <v>No</v>
      </c>
    </row>
    <row r="12" spans="1:10" ht="16.05" customHeight="1" thickBot="1" x14ac:dyDescent="0.5">
      <c r="B12" s="117">
        <v>6</v>
      </c>
      <c r="C12" s="266"/>
      <c r="D12" s="330" t="s">
        <v>368</v>
      </c>
      <c r="E12" s="330"/>
      <c r="F12" s="331" t="s">
        <v>429</v>
      </c>
      <c r="G12" s="163"/>
      <c r="H12" s="134" t="s">
        <v>179</v>
      </c>
      <c r="I12" s="135" t="s">
        <v>34</v>
      </c>
      <c r="J12" s="136" t="str">
        <f>IF(C9="No",H12,H11)</f>
        <v>Yes</v>
      </c>
    </row>
    <row r="13" spans="1:10" ht="16.05" customHeight="1" thickBot="1" x14ac:dyDescent="0.5">
      <c r="B13" s="117">
        <v>7</v>
      </c>
      <c r="C13" s="267"/>
      <c r="D13" s="330" t="s">
        <v>368</v>
      </c>
      <c r="E13" s="330" t="s">
        <v>326</v>
      </c>
      <c r="F13" s="331" t="s">
        <v>430</v>
      </c>
      <c r="G13" s="163"/>
      <c r="H13" s="137"/>
      <c r="I13" s="138" t="s">
        <v>35</v>
      </c>
      <c r="J13" s="139" t="str">
        <f>UPPER(IF(C10="","",C10))</f>
        <v/>
      </c>
    </row>
    <row r="14" spans="1:10" ht="16.05" customHeight="1" thickTop="1" thickBot="1" x14ac:dyDescent="0.5">
      <c r="B14" s="117">
        <v>8</v>
      </c>
      <c r="C14" s="268"/>
      <c r="D14" s="330" t="s">
        <v>368</v>
      </c>
      <c r="E14" s="330" t="s">
        <v>181</v>
      </c>
      <c r="F14" s="331" t="s">
        <v>431</v>
      </c>
      <c r="G14" s="163"/>
      <c r="H14" s="140" t="s">
        <v>178</v>
      </c>
      <c r="I14" s="132" t="s">
        <v>36</v>
      </c>
      <c r="J14" s="133" t="str">
        <f>IF(C11="Yes",H14,H15)</f>
        <v>No</v>
      </c>
    </row>
    <row r="15" spans="1:10" ht="16.05" customHeight="1" thickBot="1" x14ac:dyDescent="0.5">
      <c r="B15" s="117">
        <v>9</v>
      </c>
      <c r="C15" s="268"/>
      <c r="D15" s="330" t="s">
        <v>368</v>
      </c>
      <c r="E15" s="330" t="s">
        <v>181</v>
      </c>
      <c r="F15" s="331" t="s">
        <v>432</v>
      </c>
      <c r="G15" s="163"/>
      <c r="H15" s="141" t="s">
        <v>179</v>
      </c>
      <c r="I15" s="135" t="s">
        <v>37</v>
      </c>
      <c r="J15" s="136" t="str">
        <f>IF(C11="No",H15,H14)</f>
        <v>Yes</v>
      </c>
    </row>
    <row r="16" spans="1:10" ht="16.05" customHeight="1" thickBot="1" x14ac:dyDescent="0.5">
      <c r="B16" s="117">
        <v>10</v>
      </c>
      <c r="C16" s="268"/>
      <c r="D16" s="330" t="s">
        <v>368</v>
      </c>
      <c r="E16" s="330" t="s">
        <v>181</v>
      </c>
      <c r="F16" s="331" t="s">
        <v>433</v>
      </c>
      <c r="G16" s="163"/>
      <c r="H16" s="137"/>
      <c r="I16" s="142" t="s">
        <v>38</v>
      </c>
      <c r="J16" s="139" t="str">
        <f>UPPER(IF(C12="","",C12))</f>
        <v/>
      </c>
    </row>
    <row r="17" spans="2:10" ht="16.05" customHeight="1" thickTop="1" thickBot="1" x14ac:dyDescent="0.5">
      <c r="B17" s="117">
        <v>11</v>
      </c>
      <c r="C17" s="268"/>
      <c r="D17" s="330" t="s">
        <v>368</v>
      </c>
      <c r="E17" s="330" t="s">
        <v>181</v>
      </c>
      <c r="F17" s="331" t="s">
        <v>434</v>
      </c>
      <c r="G17" s="163"/>
      <c r="H17" s="140" t="s">
        <v>179</v>
      </c>
      <c r="I17" s="132" t="s">
        <v>39</v>
      </c>
      <c r="J17" s="133" t="str">
        <f>IF(C13="Canada",H17,"")</f>
        <v/>
      </c>
    </row>
    <row r="18" spans="2:10" ht="16.05" customHeight="1" thickBot="1" x14ac:dyDescent="0.5">
      <c r="B18" s="117">
        <v>12</v>
      </c>
      <c r="C18" s="268"/>
      <c r="D18" s="330" t="s">
        <v>368</v>
      </c>
      <c r="E18" s="330" t="s">
        <v>181</v>
      </c>
      <c r="F18" s="331" t="s">
        <v>435</v>
      </c>
      <c r="G18" s="163"/>
      <c r="H18" s="141" t="s">
        <v>178</v>
      </c>
      <c r="I18" s="135" t="s">
        <v>40</v>
      </c>
      <c r="J18" s="136" t="str">
        <f>IF(C13="Mexico",H18,"")</f>
        <v/>
      </c>
    </row>
    <row r="19" spans="2:10" ht="16.05" customHeight="1" thickBot="1" x14ac:dyDescent="0.5">
      <c r="B19" s="117">
        <v>13</v>
      </c>
      <c r="C19" s="268"/>
      <c r="D19" s="330" t="s">
        <v>368</v>
      </c>
      <c r="E19" s="330" t="s">
        <v>181</v>
      </c>
      <c r="F19" s="331" t="s">
        <v>436</v>
      </c>
      <c r="G19" s="163"/>
      <c r="H19" s="137"/>
      <c r="I19" s="142" t="s">
        <v>41</v>
      </c>
      <c r="J19" s="139" t="str">
        <f>IF(C14="","",C14)</f>
        <v/>
      </c>
    </row>
    <row r="20" spans="2:10" ht="16.05" customHeight="1" thickBot="1" x14ac:dyDescent="0.5">
      <c r="B20" s="117">
        <v>14</v>
      </c>
      <c r="C20" s="268"/>
      <c r="D20" s="330" t="s">
        <v>368</v>
      </c>
      <c r="E20" s="330" t="s">
        <v>181</v>
      </c>
      <c r="F20" s="331" t="s">
        <v>437</v>
      </c>
      <c r="G20" s="163"/>
      <c r="H20" s="137"/>
      <c r="I20" s="142" t="s">
        <v>42</v>
      </c>
      <c r="J20" s="139" t="str">
        <f t="shared" ref="J20:J29" si="0">IF(C15="","",C15)</f>
        <v/>
      </c>
    </row>
    <row r="21" spans="2:10" ht="16.05" customHeight="1" thickBot="1" x14ac:dyDescent="0.5">
      <c r="B21" s="117">
        <v>15</v>
      </c>
      <c r="C21" s="268"/>
      <c r="D21" s="330" t="s">
        <v>368</v>
      </c>
      <c r="E21" s="330" t="s">
        <v>181</v>
      </c>
      <c r="F21" s="331" t="s">
        <v>438</v>
      </c>
      <c r="G21" s="163"/>
      <c r="H21" s="137"/>
      <c r="I21" s="142" t="s">
        <v>157</v>
      </c>
      <c r="J21" s="139" t="str">
        <f t="shared" si="0"/>
        <v/>
      </c>
    </row>
    <row r="22" spans="2:10" ht="16.05" customHeight="1" thickBot="1" x14ac:dyDescent="0.5">
      <c r="B22" s="117">
        <v>16</v>
      </c>
      <c r="C22" s="266"/>
      <c r="D22" s="330" t="s">
        <v>368</v>
      </c>
      <c r="E22" s="330"/>
      <c r="F22" s="331" t="s">
        <v>449</v>
      </c>
      <c r="G22" s="262">
        <f>G23-1</f>
        <v>2014</v>
      </c>
      <c r="H22" s="137"/>
      <c r="I22" s="142" t="s">
        <v>158</v>
      </c>
      <c r="J22" s="139" t="str">
        <f t="shared" si="0"/>
        <v/>
      </c>
    </row>
    <row r="23" spans="2:10" ht="16.05" customHeight="1" thickBot="1" x14ac:dyDescent="0.5">
      <c r="B23" s="117">
        <v>17</v>
      </c>
      <c r="C23" s="266"/>
      <c r="D23" s="330" t="s">
        <v>368</v>
      </c>
      <c r="E23" s="330"/>
      <c r="F23" s="331" t="s">
        <v>450</v>
      </c>
      <c r="G23" s="262">
        <f>G24-1</f>
        <v>2015</v>
      </c>
      <c r="H23" s="137"/>
      <c r="I23" s="142" t="s">
        <v>159</v>
      </c>
      <c r="J23" s="139" t="str">
        <f t="shared" si="0"/>
        <v/>
      </c>
    </row>
    <row r="24" spans="2:10" ht="16.05" customHeight="1" thickBot="1" x14ac:dyDescent="0.5">
      <c r="B24" s="117">
        <v>18</v>
      </c>
      <c r="C24" s="266"/>
      <c r="D24" s="330" t="s">
        <v>368</v>
      </c>
      <c r="E24" s="330"/>
      <c r="F24" s="331" t="s">
        <v>451</v>
      </c>
      <c r="G24" s="262">
        <f>C5</f>
        <v>2016</v>
      </c>
      <c r="H24" s="137"/>
      <c r="I24" s="142" t="s">
        <v>160</v>
      </c>
      <c r="J24" s="139" t="str">
        <f t="shared" si="0"/>
        <v/>
      </c>
    </row>
    <row r="25" spans="2:10" ht="16.05" customHeight="1" thickBot="1" x14ac:dyDescent="0.5">
      <c r="B25" s="117">
        <v>19</v>
      </c>
      <c r="C25" s="264"/>
      <c r="D25" s="329" t="s">
        <v>363</v>
      </c>
      <c r="E25" s="330"/>
      <c r="F25" s="331" t="s">
        <v>439</v>
      </c>
      <c r="G25" s="163"/>
      <c r="H25" s="137"/>
      <c r="I25" s="142" t="s">
        <v>364</v>
      </c>
      <c r="J25" s="139" t="str">
        <f t="shared" si="0"/>
        <v/>
      </c>
    </row>
    <row r="26" spans="2:10" ht="16.05" customHeight="1" thickBot="1" x14ac:dyDescent="0.5">
      <c r="B26" s="117">
        <v>20</v>
      </c>
      <c r="C26" s="266"/>
      <c r="D26" s="330" t="s">
        <v>368</v>
      </c>
      <c r="E26" s="330" t="s">
        <v>313</v>
      </c>
      <c r="F26" s="331" t="s">
        <v>440</v>
      </c>
      <c r="G26" s="163"/>
      <c r="H26" s="137"/>
      <c r="I26" s="142" t="s">
        <v>365</v>
      </c>
      <c r="J26" s="139" t="str">
        <f t="shared" si="0"/>
        <v/>
      </c>
    </row>
    <row r="27" spans="2:10" ht="16.05" customHeight="1" thickBot="1" x14ac:dyDescent="0.5">
      <c r="B27" s="117">
        <v>21</v>
      </c>
      <c r="C27" s="264"/>
      <c r="D27" s="329" t="s">
        <v>363</v>
      </c>
      <c r="E27" s="330"/>
      <c r="F27" s="331" t="s">
        <v>441</v>
      </c>
      <c r="G27" s="163"/>
      <c r="H27" s="137"/>
      <c r="I27" s="142" t="s">
        <v>402</v>
      </c>
      <c r="J27" s="139" t="str">
        <f t="shared" si="0"/>
        <v/>
      </c>
    </row>
    <row r="28" spans="2:10" ht="16.05" customHeight="1" thickBot="1" x14ac:dyDescent="0.5">
      <c r="B28" s="117">
        <v>22</v>
      </c>
      <c r="C28" s="264"/>
      <c r="D28" s="329" t="s">
        <v>363</v>
      </c>
      <c r="E28" s="330"/>
      <c r="F28" s="331" t="s">
        <v>442</v>
      </c>
      <c r="G28" s="163"/>
      <c r="H28" s="137"/>
      <c r="I28" s="142" t="s">
        <v>403</v>
      </c>
      <c r="J28" s="139" t="str">
        <f t="shared" si="0"/>
        <v/>
      </c>
    </row>
    <row r="29" spans="2:10" ht="16.05" customHeight="1" thickBot="1" x14ac:dyDescent="0.5">
      <c r="B29" s="117">
        <v>23</v>
      </c>
      <c r="C29" s="264"/>
      <c r="D29" s="329" t="s">
        <v>363</v>
      </c>
      <c r="E29" s="330"/>
      <c r="F29" s="331" t="s">
        <v>443</v>
      </c>
      <c r="G29" s="163"/>
      <c r="H29" s="137"/>
      <c r="I29" s="142" t="s">
        <v>404</v>
      </c>
      <c r="J29" s="139" t="str">
        <f t="shared" si="0"/>
        <v/>
      </c>
    </row>
    <row r="30" spans="2:10" ht="16.05" customHeight="1" thickTop="1" thickBot="1" x14ac:dyDescent="0.5">
      <c r="B30" s="117">
        <v>24</v>
      </c>
      <c r="C30" s="264"/>
      <c r="D30" s="329" t="s">
        <v>363</v>
      </c>
      <c r="E30" s="330"/>
      <c r="F30" s="331" t="s">
        <v>444</v>
      </c>
      <c r="G30" s="163"/>
      <c r="H30" s="140" t="s">
        <v>178</v>
      </c>
      <c r="I30" s="132" t="s">
        <v>43</v>
      </c>
      <c r="J30" s="133" t="str">
        <f>IF(C25="Yes",H30,H31)</f>
        <v>No</v>
      </c>
    </row>
    <row r="31" spans="2:10" ht="16.05" customHeight="1" thickBot="1" x14ac:dyDescent="0.5">
      <c r="B31" s="117">
        <v>26</v>
      </c>
      <c r="C31" s="264"/>
      <c r="D31" s="329" t="s">
        <v>363</v>
      </c>
      <c r="E31" s="330"/>
      <c r="F31" s="331" t="s">
        <v>445</v>
      </c>
      <c r="G31" s="163"/>
      <c r="H31" s="143" t="s">
        <v>179</v>
      </c>
      <c r="I31" s="144" t="s">
        <v>44</v>
      </c>
      <c r="J31" s="136" t="str">
        <f>IF(C25="No",H31,H30)</f>
        <v>Yes</v>
      </c>
    </row>
    <row r="32" spans="2:10" ht="16.05" customHeight="1" thickBot="1" x14ac:dyDescent="0.5">
      <c r="B32" s="117">
        <v>27</v>
      </c>
      <c r="C32" s="269"/>
      <c r="D32" s="340" t="s">
        <v>363</v>
      </c>
      <c r="E32" s="341"/>
      <c r="F32" s="339" t="s">
        <v>446</v>
      </c>
      <c r="G32" s="163"/>
      <c r="H32" s="137"/>
      <c r="I32" s="138" t="s">
        <v>45</v>
      </c>
      <c r="J32" s="139" t="str">
        <f>IF(C26="","",C26)</f>
        <v/>
      </c>
    </row>
    <row r="33" spans="1:10" ht="16.05" customHeight="1" thickTop="1" x14ac:dyDescent="0.45">
      <c r="A33" s="163"/>
      <c r="B33" s="163"/>
      <c r="C33" s="309"/>
      <c r="D33" s="163"/>
      <c r="E33" s="163"/>
      <c r="F33" s="163"/>
      <c r="G33" s="163"/>
      <c r="H33" s="140" t="s">
        <v>178</v>
      </c>
      <c r="I33" s="132" t="s">
        <v>46</v>
      </c>
      <c r="J33" s="133" t="str">
        <f>IF(C27="Yes",H33,H34)</f>
        <v>No</v>
      </c>
    </row>
    <row r="34" spans="1:10" ht="16.05" customHeight="1" thickBot="1" x14ac:dyDescent="0.5">
      <c r="A34" s="163"/>
      <c r="B34" s="163"/>
      <c r="C34" s="309"/>
      <c r="D34" s="163"/>
      <c r="E34" s="163"/>
      <c r="F34" s="163"/>
      <c r="G34" s="163"/>
      <c r="H34" s="141" t="s">
        <v>179</v>
      </c>
      <c r="I34" s="135" t="s">
        <v>47</v>
      </c>
      <c r="J34" s="136" t="str">
        <f>IF(C27="No",H34,H33)</f>
        <v>Yes</v>
      </c>
    </row>
    <row r="35" spans="1:10" ht="16.05" customHeight="1" thickTop="1" thickBot="1" x14ac:dyDescent="0.5">
      <c r="A35" s="116"/>
      <c r="B35" s="117"/>
      <c r="C35" s="307"/>
      <c r="D35" s="119"/>
      <c r="E35" s="119"/>
      <c r="F35" s="146"/>
      <c r="G35" s="146"/>
      <c r="H35" s="140" t="s">
        <v>178</v>
      </c>
      <c r="I35" s="132" t="s">
        <v>48</v>
      </c>
      <c r="J35" s="133" t="str">
        <f>IF(C28="Yes",H35,H36)</f>
        <v>No</v>
      </c>
    </row>
    <row r="36" spans="1:10" ht="15" thickTop="1" thickBot="1" x14ac:dyDescent="0.5">
      <c r="C36" s="308"/>
      <c r="H36" s="145" t="s">
        <v>179</v>
      </c>
      <c r="I36" s="132" t="s">
        <v>49</v>
      </c>
      <c r="J36" s="136" t="str">
        <f>IF(C28="No",H36,H35)</f>
        <v>Yes</v>
      </c>
    </row>
    <row r="37" spans="1:10" ht="15" thickTop="1" thickBot="1" x14ac:dyDescent="0.5">
      <c r="C37" s="308"/>
      <c r="H37" s="147" t="s">
        <v>178</v>
      </c>
      <c r="I37" s="132" t="s">
        <v>50</v>
      </c>
      <c r="J37" s="133" t="str">
        <f>IF(C29="Yes",H37,H38)</f>
        <v>No</v>
      </c>
    </row>
    <row r="38" spans="1:10" ht="15" thickTop="1" thickBot="1" x14ac:dyDescent="0.5">
      <c r="C38" s="308"/>
      <c r="H38" s="147" t="s">
        <v>179</v>
      </c>
      <c r="I38" s="132" t="s">
        <v>51</v>
      </c>
      <c r="J38" s="136" t="str">
        <f>IF(C29="No",H38,H37)</f>
        <v>Yes</v>
      </c>
    </row>
    <row r="39" spans="1:10" ht="15" thickTop="1" thickBot="1" x14ac:dyDescent="0.5">
      <c r="C39" s="308"/>
      <c r="H39" s="147" t="s">
        <v>178</v>
      </c>
      <c r="I39" s="132" t="s">
        <v>52</v>
      </c>
      <c r="J39" s="133" t="str">
        <f>IF(C30="Yes",H39,H40)</f>
        <v>No</v>
      </c>
    </row>
    <row r="40" spans="1:10" ht="15" thickTop="1" thickBot="1" x14ac:dyDescent="0.5">
      <c r="C40" s="308"/>
      <c r="H40" s="147" t="s">
        <v>179</v>
      </c>
      <c r="I40" s="132" t="s">
        <v>53</v>
      </c>
      <c r="J40" s="136" t="str">
        <f>IF(C30="No",H40,H39)</f>
        <v>Yes</v>
      </c>
    </row>
    <row r="41" spans="1:10" ht="15" thickTop="1" thickBot="1" x14ac:dyDescent="0.5">
      <c r="H41" s="147" t="s">
        <v>178</v>
      </c>
      <c r="I41" s="295" t="s">
        <v>54</v>
      </c>
      <c r="J41" s="133" t="str">
        <f>IF(C31="Yes",H41,H42)</f>
        <v>No</v>
      </c>
    </row>
    <row r="42" spans="1:10" ht="15" thickTop="1" thickBot="1" x14ac:dyDescent="0.5">
      <c r="H42" s="147" t="s">
        <v>179</v>
      </c>
      <c r="I42" s="295" t="s">
        <v>55</v>
      </c>
      <c r="J42" s="136" t="str">
        <f>IF(C31="No",H42,H41)</f>
        <v>Yes</v>
      </c>
    </row>
    <row r="43" spans="1:10" ht="15" thickTop="1" thickBot="1" x14ac:dyDescent="0.5">
      <c r="H43" s="147" t="s">
        <v>178</v>
      </c>
      <c r="I43" s="295" t="s">
        <v>56</v>
      </c>
      <c r="J43" s="133" t="str">
        <f>IF(C32="Yes",H43,H44)</f>
        <v>No</v>
      </c>
    </row>
    <row r="44" spans="1:10" ht="15" thickTop="1" thickBot="1" x14ac:dyDescent="0.5">
      <c r="H44" s="147" t="s">
        <v>179</v>
      </c>
      <c r="I44" s="295" t="s">
        <v>57</v>
      </c>
      <c r="J44" s="136" t="str">
        <f>IF(C32="No",H44,H43)</f>
        <v>Yes</v>
      </c>
    </row>
    <row r="45" spans="1:10" ht="14.65" thickTop="1" x14ac:dyDescent="0.45"/>
  </sheetData>
  <sheetProtection password="DA43" sheet="1" objects="1" scenarios="1"/>
  <conditionalFormatting sqref="C7">
    <cfRule type="notContainsBlanks" dxfId="51" priority="28">
      <formula>LEN(TRIM(C7))&gt;0</formula>
    </cfRule>
  </conditionalFormatting>
  <conditionalFormatting sqref="C13">
    <cfRule type="notContainsBlanks" dxfId="50" priority="27">
      <formula>LEN(TRIM(C13))&gt;0</formula>
    </cfRule>
  </conditionalFormatting>
  <conditionalFormatting sqref="C8">
    <cfRule type="notContainsBlanks" dxfId="49" priority="26">
      <formula>LEN(TRIM(C8))&gt;0</formula>
    </cfRule>
  </conditionalFormatting>
  <conditionalFormatting sqref="C9">
    <cfRule type="notContainsBlanks" dxfId="48" priority="25">
      <formula>LEN(TRIM(C9))&gt;0</formula>
    </cfRule>
  </conditionalFormatting>
  <conditionalFormatting sqref="C11">
    <cfRule type="notContainsBlanks" dxfId="47" priority="24">
      <formula>LEN(TRIM(C11))&gt;0</formula>
    </cfRule>
  </conditionalFormatting>
  <conditionalFormatting sqref="C25">
    <cfRule type="notContainsBlanks" dxfId="46" priority="23">
      <formula>LEN(TRIM(C25))&gt;0</formula>
    </cfRule>
  </conditionalFormatting>
  <conditionalFormatting sqref="C29">
    <cfRule type="notContainsBlanks" dxfId="45" priority="22">
      <formula>LEN(TRIM(C29))&gt;0</formula>
    </cfRule>
  </conditionalFormatting>
  <conditionalFormatting sqref="C30">
    <cfRule type="notContainsBlanks" dxfId="44" priority="21">
      <formula>LEN(TRIM(C30))&gt;0</formula>
    </cfRule>
  </conditionalFormatting>
  <conditionalFormatting sqref="C10 C20:C21">
    <cfRule type="notContainsBlanks" dxfId="43" priority="17">
      <formula>LEN(TRIM(C10))&gt;0</formula>
    </cfRule>
    <cfRule type="containsBlanks" dxfId="42" priority="18">
      <formula>LEN(TRIM(C10))=0</formula>
    </cfRule>
  </conditionalFormatting>
  <conditionalFormatting sqref="C12">
    <cfRule type="notContainsBlanks" dxfId="41" priority="15">
      <formula>LEN(TRIM(C12))&gt;0</formula>
    </cfRule>
    <cfRule type="containsBlanks" dxfId="40" priority="16">
      <formula>LEN(TRIM(C12))=0</formula>
    </cfRule>
  </conditionalFormatting>
  <conditionalFormatting sqref="C14:C19">
    <cfRule type="notContainsBlanks" dxfId="39" priority="13">
      <formula>LEN(TRIM(C14))&gt;0</formula>
    </cfRule>
    <cfRule type="containsBlanks" dxfId="38" priority="14">
      <formula>LEN(TRIM(C14))=0</formula>
    </cfRule>
  </conditionalFormatting>
  <conditionalFormatting sqref="C22">
    <cfRule type="notContainsBlanks" dxfId="37" priority="11">
      <formula>LEN(TRIM(C22))&gt;0</formula>
    </cfRule>
    <cfRule type="containsBlanks" dxfId="36" priority="12">
      <formula>LEN(TRIM(C22))=0</formula>
    </cfRule>
  </conditionalFormatting>
  <conditionalFormatting sqref="C23">
    <cfRule type="notContainsBlanks" dxfId="35" priority="9">
      <formula>LEN(TRIM(C23))&gt;0</formula>
    </cfRule>
    <cfRule type="containsBlanks" dxfId="34" priority="10">
      <formula>LEN(TRIM(C23))=0</formula>
    </cfRule>
  </conditionalFormatting>
  <conditionalFormatting sqref="C24">
    <cfRule type="notContainsBlanks" dxfId="33" priority="7">
      <formula>LEN(TRIM(C24))&gt;0</formula>
    </cfRule>
    <cfRule type="containsBlanks" dxfId="32" priority="8">
      <formula>LEN(TRIM(C24))=0</formula>
    </cfRule>
  </conditionalFormatting>
  <conditionalFormatting sqref="C27">
    <cfRule type="notContainsBlanks" dxfId="31" priority="4">
      <formula>LEN(TRIM(C27))&gt;0</formula>
    </cfRule>
  </conditionalFormatting>
  <conditionalFormatting sqref="C28">
    <cfRule type="notContainsBlanks" dxfId="30" priority="3">
      <formula>LEN(TRIM(C28))&gt;0</formula>
    </cfRule>
  </conditionalFormatting>
  <conditionalFormatting sqref="C31">
    <cfRule type="notContainsBlanks" dxfId="29" priority="20">
      <formula>LEN(TRIM(C31))&gt;0</formula>
    </cfRule>
  </conditionalFormatting>
  <conditionalFormatting sqref="C32">
    <cfRule type="notContainsBlanks" dxfId="28" priority="19">
      <formula>LEN(TRIM(C32))&gt;0</formula>
    </cfRule>
  </conditionalFormatting>
  <conditionalFormatting sqref="C26">
    <cfRule type="notContainsBlanks" dxfId="27" priority="5">
      <formula>LEN(TRIM(C26))&gt;0</formula>
    </cfRule>
    <cfRule type="containsBlanks" dxfId="26" priority="6">
      <formula>LEN(TRIM(C26))=0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setSheet11" altText="Reset Form">
                <anchor moveWithCells="1" sizeWithCells="1">
                  <from>
                    <xdr:col>5</xdr:col>
                    <xdr:colOff>5062538</xdr:colOff>
                    <xdr:row>1</xdr:row>
                    <xdr:rowOff>47625</xdr:rowOff>
                  </from>
                  <to>
                    <xdr:col>5</xdr:col>
                    <xdr:colOff>5872163</xdr:colOff>
                    <xdr:row>2</xdr:row>
                    <xdr:rowOff>71438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Lists!$H$3:$H$5</xm:f>
          </x14:formula1>
          <xm:sqref>C13</xm:sqref>
        </x14:dataValidation>
        <x14:dataValidation type="list" showInputMessage="1" showErrorMessage="1">
          <x14:formula1>
            <xm:f>Lists!$A$2:$A$4</xm:f>
          </x14:formula1>
          <xm:sqref>C7:C9 C11 C25 C27:C32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K84"/>
  <sheetViews>
    <sheetView workbookViewId="0"/>
  </sheetViews>
  <sheetFormatPr defaultRowHeight="14.25" x14ac:dyDescent="0.45"/>
  <cols>
    <col min="1" max="1" width="27.86328125" style="201" customWidth="1"/>
    <col min="2" max="2" width="15.33203125" style="192" customWidth="1"/>
    <col min="3" max="3" width="12.46484375" style="192" customWidth="1"/>
    <col min="4" max="4" width="14" style="192" customWidth="1"/>
    <col min="5" max="5" width="17.86328125" style="195" customWidth="1"/>
    <col min="6" max="6" width="97.19921875" style="202" customWidth="1"/>
    <col min="7" max="7" width="24.86328125" style="205" customWidth="1"/>
    <col min="8" max="8" width="17.73046875" style="192" customWidth="1"/>
    <col min="9" max="9" width="9.06640625" style="173"/>
    <col min="10" max="10" width="6.9296875" style="193" customWidth="1"/>
    <col min="11" max="16384" width="9.06640625" style="193"/>
  </cols>
  <sheetData>
    <row r="1" spans="1:9" s="183" customFormat="1" x14ac:dyDescent="0.45">
      <c r="A1" s="179" t="s">
        <v>161</v>
      </c>
      <c r="B1" s="180" t="s">
        <v>162</v>
      </c>
      <c r="C1" s="180" t="s">
        <v>163</v>
      </c>
      <c r="D1" s="180" t="s">
        <v>164</v>
      </c>
      <c r="E1" s="181" t="s">
        <v>166</v>
      </c>
      <c r="F1" s="182" t="s">
        <v>100</v>
      </c>
      <c r="G1" s="203" t="s">
        <v>361</v>
      </c>
      <c r="H1" s="180"/>
      <c r="I1" s="180"/>
    </row>
    <row r="2" spans="1:9" s="187" customFormat="1" x14ac:dyDescent="0.45">
      <c r="A2" s="184" t="s">
        <v>5</v>
      </c>
      <c r="B2" s="178" t="s">
        <v>176</v>
      </c>
      <c r="C2" s="178"/>
      <c r="D2" s="178" t="s">
        <v>177</v>
      </c>
      <c r="E2" s="185" t="s">
        <v>355</v>
      </c>
      <c r="F2" s="186" t="s">
        <v>140</v>
      </c>
      <c r="G2" s="204" t="s">
        <v>355</v>
      </c>
      <c r="H2" s="178" t="s">
        <v>362</v>
      </c>
      <c r="I2" s="178" t="s">
        <v>363</v>
      </c>
    </row>
    <row r="3" spans="1:9" s="187" customFormat="1" x14ac:dyDescent="0.45">
      <c r="A3" s="184" t="s">
        <v>6</v>
      </c>
      <c r="B3" s="178" t="s">
        <v>176</v>
      </c>
      <c r="C3" s="178"/>
      <c r="D3" s="178" t="s">
        <v>177</v>
      </c>
      <c r="E3" s="185" t="s">
        <v>356</v>
      </c>
      <c r="F3" s="186" t="s">
        <v>141</v>
      </c>
      <c r="G3" s="204" t="s">
        <v>356</v>
      </c>
      <c r="H3" s="178" t="s">
        <v>362</v>
      </c>
      <c r="I3" s="178" t="s">
        <v>363</v>
      </c>
    </row>
    <row r="4" spans="1:9" s="187" customFormat="1" x14ac:dyDescent="0.45">
      <c r="A4" s="188" t="s">
        <v>7</v>
      </c>
      <c r="B4" s="189" t="s">
        <v>176</v>
      </c>
      <c r="C4" s="189"/>
      <c r="D4" s="189" t="s">
        <v>177</v>
      </c>
      <c r="E4" s="190" t="s">
        <v>354</v>
      </c>
      <c r="F4" s="191" t="s">
        <v>165</v>
      </c>
      <c r="G4" s="254" t="str">
        <f>RIGHT(General!I6,2)</f>
        <v>16</v>
      </c>
      <c r="H4" s="189" t="s">
        <v>362</v>
      </c>
      <c r="I4" s="189" t="s">
        <v>363</v>
      </c>
    </row>
    <row r="5" spans="1:9" s="187" customFormat="1" x14ac:dyDescent="0.45">
      <c r="A5" s="188" t="s">
        <v>8</v>
      </c>
      <c r="B5" s="189" t="s">
        <v>176</v>
      </c>
      <c r="C5" s="189"/>
      <c r="D5" s="189" t="s">
        <v>177</v>
      </c>
      <c r="E5" s="190" t="s">
        <v>167</v>
      </c>
      <c r="F5" s="191" t="s">
        <v>142</v>
      </c>
      <c r="G5" s="205" t="str">
        <f>UPPER(General!C5 &amp; " " &amp; LEFT(General!C6,1))</f>
        <v xml:space="preserve"> </v>
      </c>
      <c r="H5" s="189"/>
      <c r="I5" s="189"/>
    </row>
    <row r="6" spans="1:9" s="187" customFormat="1" x14ac:dyDescent="0.45">
      <c r="A6" s="188" t="s">
        <v>9</v>
      </c>
      <c r="B6" s="189" t="s">
        <v>176</v>
      </c>
      <c r="C6" s="189"/>
      <c r="D6" s="189" t="s">
        <v>177</v>
      </c>
      <c r="E6" s="190" t="s">
        <v>168</v>
      </c>
      <c r="F6" s="191" t="s">
        <v>143</v>
      </c>
      <c r="G6" s="205" t="str">
        <f>UPPER(General!C7)</f>
        <v/>
      </c>
      <c r="H6" s="189"/>
      <c r="I6" s="189"/>
    </row>
    <row r="7" spans="1:9" x14ac:dyDescent="0.45">
      <c r="A7" s="188" t="s">
        <v>10</v>
      </c>
      <c r="B7" s="189" t="s">
        <v>176</v>
      </c>
      <c r="C7" s="189"/>
      <c r="D7" s="189" t="s">
        <v>177</v>
      </c>
      <c r="E7" s="190" t="s">
        <v>169</v>
      </c>
      <c r="F7" s="191" t="s">
        <v>144</v>
      </c>
      <c r="G7" s="205">
        <f>General!C18</f>
        <v>0</v>
      </c>
    </row>
    <row r="8" spans="1:9" x14ac:dyDescent="0.45">
      <c r="A8" s="188" t="s">
        <v>11</v>
      </c>
      <c r="B8" s="189" t="s">
        <v>176</v>
      </c>
      <c r="C8" s="189"/>
      <c r="D8" s="189" t="s">
        <v>177</v>
      </c>
      <c r="E8" s="190" t="s">
        <v>170</v>
      </c>
      <c r="F8" s="191" t="s">
        <v>145</v>
      </c>
      <c r="G8" s="205" t="str">
        <f>IF(UPPER(General!C8)&lt;&gt;"",UPPER(General!C8) &amp; " " &amp; UPPER(General!C9),UPPER(General!C9))</f>
        <v/>
      </c>
    </row>
    <row r="9" spans="1:9" x14ac:dyDescent="0.45">
      <c r="A9" s="184" t="s">
        <v>12</v>
      </c>
      <c r="B9" s="178" t="s">
        <v>175</v>
      </c>
      <c r="C9" s="178"/>
      <c r="D9" s="178" t="s">
        <v>177</v>
      </c>
      <c r="E9" s="185">
        <v>1</v>
      </c>
      <c r="F9" s="186" t="s">
        <v>147</v>
      </c>
      <c r="G9" s="177">
        <v>1</v>
      </c>
      <c r="H9" s="178" t="s">
        <v>362</v>
      </c>
      <c r="I9" s="178" t="s">
        <v>363</v>
      </c>
    </row>
    <row r="10" spans="1:9" x14ac:dyDescent="0.45">
      <c r="A10" s="184" t="s">
        <v>406</v>
      </c>
      <c r="B10" s="178" t="s">
        <v>408</v>
      </c>
      <c r="C10" s="178" t="s">
        <v>178</v>
      </c>
      <c r="D10" s="178" t="s">
        <v>177</v>
      </c>
      <c r="E10" s="185" t="s">
        <v>409</v>
      </c>
      <c r="F10" s="252" t="s">
        <v>410</v>
      </c>
      <c r="G10" s="177" t="s">
        <v>178</v>
      </c>
      <c r="H10" s="178" t="s">
        <v>362</v>
      </c>
      <c r="I10" s="178" t="s">
        <v>363</v>
      </c>
    </row>
    <row r="11" spans="1:9" x14ac:dyDescent="0.45">
      <c r="A11" s="188" t="s">
        <v>13</v>
      </c>
      <c r="B11" s="189" t="s">
        <v>176</v>
      </c>
      <c r="C11" s="189"/>
      <c r="D11" s="189" t="s">
        <v>177</v>
      </c>
      <c r="E11" s="190" t="s">
        <v>173</v>
      </c>
      <c r="F11" s="191" t="s">
        <v>146</v>
      </c>
      <c r="G11" s="205" t="str">
        <f>UPPER(General!C10 &amp; ", " &amp; General!C11 &amp; ", " &amp; General!C12 &amp; ", " &amp; General!C13 &amp; ", " &amp; General!C14)</f>
        <v xml:space="preserve">, , , , </v>
      </c>
    </row>
    <row r="12" spans="1:9" x14ac:dyDescent="0.45">
      <c r="A12" s="188" t="s">
        <v>14</v>
      </c>
      <c r="B12" s="189" t="s">
        <v>176</v>
      </c>
      <c r="C12" s="189"/>
      <c r="D12" s="189" t="s">
        <v>177</v>
      </c>
      <c r="E12" s="190" t="s">
        <v>172</v>
      </c>
      <c r="F12" s="191" t="s">
        <v>149</v>
      </c>
      <c r="G12" s="205" t="str">
        <f>UPPER(General!C13)</f>
        <v/>
      </c>
    </row>
    <row r="13" spans="1:9" x14ac:dyDescent="0.45">
      <c r="A13" s="188" t="s">
        <v>15</v>
      </c>
      <c r="B13" s="189" t="s">
        <v>176</v>
      </c>
      <c r="C13" s="189"/>
      <c r="D13" s="189" t="s">
        <v>177</v>
      </c>
      <c r="E13" s="190" t="s">
        <v>173</v>
      </c>
      <c r="F13" s="191" t="s">
        <v>150</v>
      </c>
      <c r="G13" s="205" t="str">
        <f>UPPER(General!C12)</f>
        <v/>
      </c>
    </row>
    <row r="14" spans="1:9" x14ac:dyDescent="0.45">
      <c r="A14" s="188" t="s">
        <v>16</v>
      </c>
      <c r="B14" s="189" t="s">
        <v>176</v>
      </c>
      <c r="C14" s="189"/>
      <c r="D14" s="189" t="s">
        <v>177</v>
      </c>
      <c r="E14" s="190" t="s">
        <v>174</v>
      </c>
      <c r="F14" s="191" t="s">
        <v>151</v>
      </c>
      <c r="G14" s="205" t="str">
        <f>UPPER(General!C14)</f>
        <v/>
      </c>
    </row>
    <row r="15" spans="1:9" x14ac:dyDescent="0.45">
      <c r="A15" s="184" t="s">
        <v>17</v>
      </c>
      <c r="B15" s="178" t="s">
        <v>175</v>
      </c>
      <c r="C15" s="178">
        <v>2</v>
      </c>
      <c r="D15" s="178">
        <v>0</v>
      </c>
      <c r="E15" s="185">
        <v>2</v>
      </c>
      <c r="F15" s="186" t="s">
        <v>328</v>
      </c>
      <c r="G15" s="177">
        <v>2</v>
      </c>
      <c r="H15" s="178" t="s">
        <v>362</v>
      </c>
      <c r="I15" s="178" t="s">
        <v>363</v>
      </c>
    </row>
    <row r="16" spans="1:9" x14ac:dyDescent="0.45">
      <c r="A16" s="184" t="s">
        <v>405</v>
      </c>
      <c r="B16" s="178" t="s">
        <v>411</v>
      </c>
      <c r="C16" s="178"/>
      <c r="D16" s="178" t="s">
        <v>177</v>
      </c>
      <c r="E16" s="185">
        <v>1</v>
      </c>
      <c r="F16" s="186" t="s">
        <v>412</v>
      </c>
      <c r="G16" s="177">
        <v>1</v>
      </c>
      <c r="H16" s="178" t="s">
        <v>362</v>
      </c>
      <c r="I16" s="178" t="s">
        <v>363</v>
      </c>
    </row>
    <row r="17" spans="1:10" x14ac:dyDescent="0.45">
      <c r="A17" s="184" t="s">
        <v>407</v>
      </c>
      <c r="B17" s="178" t="s">
        <v>411</v>
      </c>
      <c r="C17" s="178"/>
      <c r="D17" s="178" t="s">
        <v>177</v>
      </c>
      <c r="E17" s="185">
        <v>1</v>
      </c>
      <c r="F17" s="186" t="s">
        <v>413</v>
      </c>
      <c r="G17" s="177">
        <v>1</v>
      </c>
      <c r="H17" s="178" t="s">
        <v>362</v>
      </c>
      <c r="I17" s="178" t="s">
        <v>363</v>
      </c>
      <c r="J17" s="167"/>
    </row>
    <row r="18" spans="1:10" x14ac:dyDescent="0.45">
      <c r="A18" s="188" t="s">
        <v>397</v>
      </c>
      <c r="B18" s="148" t="s">
        <v>176</v>
      </c>
      <c r="C18" s="148"/>
      <c r="D18" s="148" t="s">
        <v>177</v>
      </c>
      <c r="E18" s="148"/>
      <c r="F18" s="162" t="s">
        <v>333</v>
      </c>
      <c r="G18" s="85">
        <f>ROUNDDOWN(Bank_Accounts_2016!$G$2,0)</f>
        <v>0</v>
      </c>
      <c r="H18" s="178"/>
      <c r="I18" s="178"/>
    </row>
    <row r="19" spans="1:10" x14ac:dyDescent="0.45">
      <c r="A19" s="188" t="s">
        <v>398</v>
      </c>
      <c r="B19" s="148" t="s">
        <v>176</v>
      </c>
      <c r="C19" s="148"/>
      <c r="D19" s="148" t="s">
        <v>177</v>
      </c>
      <c r="E19" s="148"/>
      <c r="F19" s="162" t="s">
        <v>334</v>
      </c>
      <c r="G19" s="85" t="str">
        <f>RIGHT(ROUND(Bank_Accounts_2016!$G$2-TRUNC(Bank_Accounts_2016!$G$2),2),2)</f>
        <v>0</v>
      </c>
      <c r="H19" s="178"/>
      <c r="I19" s="178"/>
    </row>
    <row r="20" spans="1:10" x14ac:dyDescent="0.45">
      <c r="A20" s="188" t="s">
        <v>338</v>
      </c>
      <c r="B20" s="178" t="s">
        <v>176</v>
      </c>
      <c r="C20" s="178"/>
      <c r="D20" s="178" t="s">
        <v>177</v>
      </c>
      <c r="E20" s="178"/>
      <c r="F20" s="186" t="s">
        <v>336</v>
      </c>
      <c r="G20" s="253">
        <f>ROUNDDOWN(Bank_Accounts_2016!$G$2,0)</f>
        <v>0</v>
      </c>
      <c r="H20" s="178"/>
      <c r="I20" s="178"/>
    </row>
    <row r="21" spans="1:10" x14ac:dyDescent="0.45">
      <c r="A21" s="188" t="s">
        <v>339</v>
      </c>
      <c r="B21" s="178" t="s">
        <v>176</v>
      </c>
      <c r="C21" s="178"/>
      <c r="D21" s="178" t="s">
        <v>177</v>
      </c>
      <c r="E21" s="178"/>
      <c r="F21" s="186" t="s">
        <v>337</v>
      </c>
      <c r="G21" s="253" t="str">
        <f>RIGHT(ROUND(Bank_Accounts_2016!$G$2-TRUNC(Bank_Accounts_2016!$G$2),2),2)</f>
        <v>0</v>
      </c>
      <c r="H21" s="178"/>
      <c r="I21" s="178"/>
    </row>
    <row r="22" spans="1:10" x14ac:dyDescent="0.45">
      <c r="A22" s="188" t="s">
        <v>340</v>
      </c>
      <c r="B22" s="178" t="s">
        <v>176</v>
      </c>
      <c r="C22" s="178"/>
      <c r="D22" s="178" t="s">
        <v>177</v>
      </c>
      <c r="E22" s="178"/>
      <c r="F22" s="186" t="s">
        <v>342</v>
      </c>
      <c r="G22" s="253">
        <f>ROUNDDOWN(Bank_Accounts_2016!$G$2,0)</f>
        <v>0</v>
      </c>
      <c r="H22" s="178"/>
      <c r="I22" s="178"/>
    </row>
    <row r="23" spans="1:10" x14ac:dyDescent="0.45">
      <c r="A23" s="188" t="s">
        <v>341</v>
      </c>
      <c r="B23" s="178" t="s">
        <v>176</v>
      </c>
      <c r="C23" s="178"/>
      <c r="D23" s="178" t="s">
        <v>177</v>
      </c>
      <c r="E23" s="178"/>
      <c r="F23" s="186" t="s">
        <v>343</v>
      </c>
      <c r="G23" s="253" t="str">
        <f>RIGHT(ROUND(Bank_Accounts_2016!$G$2-TRUNC(Bank_Accounts_2016!$G$2),2),2)</f>
        <v>0</v>
      </c>
      <c r="H23" s="178"/>
      <c r="I23" s="178"/>
    </row>
    <row r="24" spans="1:10" x14ac:dyDescent="0.45">
      <c r="A24" s="188" t="s">
        <v>357</v>
      </c>
      <c r="B24" s="178" t="s">
        <v>176</v>
      </c>
      <c r="C24" s="178"/>
      <c r="D24" s="178" t="s">
        <v>177</v>
      </c>
      <c r="E24" s="178"/>
      <c r="F24" s="186" t="s">
        <v>359</v>
      </c>
      <c r="G24" s="253">
        <f>ROUNDDOWN(Bank_Accounts_2016!$G$2,0)</f>
        <v>0</v>
      </c>
      <c r="H24" s="178" t="s">
        <v>362</v>
      </c>
      <c r="I24" s="178" t="s">
        <v>363</v>
      </c>
    </row>
    <row r="25" spans="1:10" x14ac:dyDescent="0.45">
      <c r="A25" s="188" t="s">
        <v>358</v>
      </c>
      <c r="B25" s="178" t="s">
        <v>176</v>
      </c>
      <c r="C25" s="178"/>
      <c r="D25" s="178" t="s">
        <v>177</v>
      </c>
      <c r="E25" s="178"/>
      <c r="F25" s="186" t="s">
        <v>360</v>
      </c>
      <c r="G25" s="253" t="str">
        <f>RIGHT(ROUND(Bank_Accounts_2016!$G$2-TRUNC(Bank_Accounts_2016!$G$2),2),2)</f>
        <v>0</v>
      </c>
      <c r="H25" s="178" t="s">
        <v>362</v>
      </c>
      <c r="I25" s="178" t="s">
        <v>363</v>
      </c>
    </row>
    <row r="26" spans="1:10" x14ac:dyDescent="0.45">
      <c r="A26" s="184" t="s">
        <v>18</v>
      </c>
      <c r="B26" s="178" t="s">
        <v>176</v>
      </c>
      <c r="C26" s="178"/>
      <c r="D26" s="178" t="s">
        <v>177</v>
      </c>
      <c r="E26" s="178" t="s">
        <v>186</v>
      </c>
      <c r="F26" s="186" t="s">
        <v>105</v>
      </c>
      <c r="G26" s="177" t="s">
        <v>186</v>
      </c>
      <c r="H26" s="178" t="s">
        <v>362</v>
      </c>
      <c r="I26" s="178" t="s">
        <v>363</v>
      </c>
    </row>
    <row r="27" spans="1:10" x14ac:dyDescent="0.45">
      <c r="A27" s="188" t="s">
        <v>19</v>
      </c>
      <c r="B27" s="189" t="s">
        <v>176</v>
      </c>
      <c r="C27" s="189"/>
      <c r="D27" s="189" t="s">
        <v>177</v>
      </c>
      <c r="E27" s="189"/>
      <c r="F27" s="191" t="s">
        <v>344</v>
      </c>
      <c r="G27" s="253">
        <f>ROUNDDOWN(Bank_Accounts_2016!$G$2,0)</f>
        <v>0</v>
      </c>
    </row>
    <row r="28" spans="1:10" x14ac:dyDescent="0.45">
      <c r="A28" s="188" t="s">
        <v>20</v>
      </c>
      <c r="B28" s="189" t="s">
        <v>176</v>
      </c>
      <c r="C28" s="189"/>
      <c r="D28" s="189" t="s">
        <v>177</v>
      </c>
      <c r="E28" s="189"/>
      <c r="F28" s="191" t="s">
        <v>345</v>
      </c>
      <c r="G28" s="253" t="str">
        <f>RIGHT(ROUND(Bank_Accounts_2016!$G$2-TRUNC(Bank_Accounts_2016!$G$2),2),2)</f>
        <v>0</v>
      </c>
    </row>
    <row r="29" spans="1:10" x14ac:dyDescent="0.45">
      <c r="A29" s="188" t="s">
        <v>21</v>
      </c>
      <c r="B29" s="189" t="s">
        <v>176</v>
      </c>
      <c r="C29" s="189"/>
      <c r="D29" s="189" t="s">
        <v>177</v>
      </c>
      <c r="E29" s="189"/>
      <c r="F29" s="191" t="s">
        <v>346</v>
      </c>
      <c r="G29" s="253">
        <f>ROUNDDOWN(Bank_Accounts_2016!$G$2,0)</f>
        <v>0</v>
      </c>
    </row>
    <row r="30" spans="1:10" x14ac:dyDescent="0.45">
      <c r="A30" s="188" t="s">
        <v>22</v>
      </c>
      <c r="B30" s="189" t="s">
        <v>176</v>
      </c>
      <c r="C30" s="189"/>
      <c r="D30" s="189" t="s">
        <v>177</v>
      </c>
      <c r="E30" s="189"/>
      <c r="F30" s="191" t="s">
        <v>347</v>
      </c>
      <c r="G30" s="253" t="str">
        <f>RIGHT(ROUND(Bank_Accounts_2016!$G$2-TRUNC(Bank_Accounts_2016!$G$2),2),2)</f>
        <v>0</v>
      </c>
    </row>
    <row r="31" spans="1:10" x14ac:dyDescent="0.45">
      <c r="A31" s="184" t="s">
        <v>23</v>
      </c>
      <c r="B31" s="178" t="s">
        <v>176</v>
      </c>
      <c r="C31" s="178"/>
      <c r="D31" s="178" t="s">
        <v>177</v>
      </c>
      <c r="E31" s="178" t="s">
        <v>187</v>
      </c>
      <c r="F31" s="186" t="s">
        <v>348</v>
      </c>
      <c r="G31" s="204">
        <v>0</v>
      </c>
      <c r="H31" s="178" t="s">
        <v>362</v>
      </c>
      <c r="I31" s="178" t="s">
        <v>363</v>
      </c>
    </row>
    <row r="32" spans="1:10" x14ac:dyDescent="0.45">
      <c r="A32" s="184" t="s">
        <v>24</v>
      </c>
      <c r="B32" s="178" t="s">
        <v>176</v>
      </c>
      <c r="C32" s="178"/>
      <c r="D32" s="178" t="s">
        <v>177</v>
      </c>
      <c r="E32" s="178" t="s">
        <v>188</v>
      </c>
      <c r="F32" s="186" t="s">
        <v>350</v>
      </c>
      <c r="G32" s="204" t="s">
        <v>188</v>
      </c>
      <c r="H32" s="178" t="s">
        <v>362</v>
      </c>
      <c r="I32" s="178" t="s">
        <v>363</v>
      </c>
    </row>
    <row r="33" spans="1:11" x14ac:dyDescent="0.45">
      <c r="A33" s="184" t="s">
        <v>25</v>
      </c>
      <c r="B33" s="178" t="s">
        <v>176</v>
      </c>
      <c r="C33" s="178"/>
      <c r="D33" s="178" t="s">
        <v>177</v>
      </c>
      <c r="E33" s="178" t="s">
        <v>187</v>
      </c>
      <c r="F33" s="186" t="s">
        <v>349</v>
      </c>
      <c r="G33" s="204">
        <v>0</v>
      </c>
      <c r="H33" s="178" t="s">
        <v>362</v>
      </c>
      <c r="I33" s="178" t="s">
        <v>363</v>
      </c>
    </row>
    <row r="34" spans="1:11" x14ac:dyDescent="0.45">
      <c r="A34" s="184" t="s">
        <v>26</v>
      </c>
      <c r="B34" s="178" t="s">
        <v>176</v>
      </c>
      <c r="C34" s="178"/>
      <c r="D34" s="178" t="s">
        <v>177</v>
      </c>
      <c r="E34" s="178" t="s">
        <v>188</v>
      </c>
      <c r="F34" s="186" t="s">
        <v>351</v>
      </c>
      <c r="G34" s="204" t="s">
        <v>188</v>
      </c>
      <c r="H34" s="178" t="s">
        <v>362</v>
      </c>
      <c r="I34" s="178" t="s">
        <v>363</v>
      </c>
    </row>
    <row r="35" spans="1:11" x14ac:dyDescent="0.45">
      <c r="A35" s="188" t="s">
        <v>27</v>
      </c>
      <c r="B35" s="189" t="s">
        <v>176</v>
      </c>
      <c r="C35" s="189"/>
      <c r="D35" s="189" t="s">
        <v>177</v>
      </c>
      <c r="E35" s="189" t="s">
        <v>172</v>
      </c>
      <c r="F35" s="191" t="s">
        <v>106</v>
      </c>
      <c r="G35" s="205" t="str">
        <f>UPPER(General!C19)</f>
        <v/>
      </c>
    </row>
    <row r="36" spans="1:11" x14ac:dyDescent="0.45">
      <c r="A36" s="188" t="s">
        <v>28</v>
      </c>
      <c r="B36" s="189" t="s">
        <v>176</v>
      </c>
      <c r="C36" s="189"/>
      <c r="D36" s="189" t="s">
        <v>177</v>
      </c>
      <c r="E36" s="189" t="s">
        <v>172</v>
      </c>
      <c r="F36" s="191" t="s">
        <v>107</v>
      </c>
      <c r="G36" s="205" t="str">
        <f>UPPER(General!C20)</f>
        <v/>
      </c>
      <c r="I36" s="192"/>
      <c r="J36" s="196"/>
    </row>
    <row r="37" spans="1:11" s="196" customFormat="1" x14ac:dyDescent="0.45">
      <c r="A37" s="197" t="s">
        <v>29</v>
      </c>
      <c r="B37" s="198" t="s">
        <v>171</v>
      </c>
      <c r="C37" s="198" t="s">
        <v>178</v>
      </c>
      <c r="D37" s="198" t="s">
        <v>177</v>
      </c>
      <c r="E37" s="199" t="s">
        <v>177</v>
      </c>
      <c r="F37" s="200" t="s">
        <v>108</v>
      </c>
      <c r="G37" s="205" t="str">
        <f>IF(Form_1040NR_2016!J7="","",Form_1040NR_2016!J7)</f>
        <v>No</v>
      </c>
      <c r="H37" s="198"/>
      <c r="I37" s="198"/>
      <c r="J37" s="116"/>
      <c r="K37" s="116"/>
    </row>
    <row r="38" spans="1:11" x14ac:dyDescent="0.45">
      <c r="A38" s="188" t="s">
        <v>30</v>
      </c>
      <c r="B38" s="189" t="s">
        <v>171</v>
      </c>
      <c r="C38" s="189" t="s">
        <v>179</v>
      </c>
      <c r="D38" s="189" t="s">
        <v>177</v>
      </c>
      <c r="E38" s="190" t="s">
        <v>180</v>
      </c>
      <c r="F38" s="191" t="s">
        <v>109</v>
      </c>
      <c r="G38" s="205" t="str">
        <f>IF(Form_1040NR_2016!J8="","",Form_1040NR_2016!J8)</f>
        <v>Yes</v>
      </c>
      <c r="I38" s="192"/>
      <c r="J38" s="116"/>
    </row>
    <row r="39" spans="1:11" s="196" customFormat="1" x14ac:dyDescent="0.45">
      <c r="A39" s="197" t="s">
        <v>31</v>
      </c>
      <c r="B39" s="198" t="s">
        <v>171</v>
      </c>
      <c r="C39" s="198" t="s">
        <v>178</v>
      </c>
      <c r="D39" s="198" t="s">
        <v>177</v>
      </c>
      <c r="E39" s="199" t="s">
        <v>177</v>
      </c>
      <c r="F39" s="200" t="s">
        <v>110</v>
      </c>
      <c r="G39" s="205" t="str">
        <f>IF(Form_1040NR_2016!J9="","",Form_1040NR_2016!J9)</f>
        <v>No</v>
      </c>
      <c r="H39" s="198"/>
      <c r="I39" s="198"/>
      <c r="J39" s="116"/>
    </row>
    <row r="40" spans="1:11" x14ac:dyDescent="0.45">
      <c r="A40" s="188" t="s">
        <v>32</v>
      </c>
      <c r="B40" s="189" t="s">
        <v>171</v>
      </c>
      <c r="C40" s="189" t="s">
        <v>179</v>
      </c>
      <c r="D40" s="189" t="s">
        <v>177</v>
      </c>
      <c r="E40" s="190" t="s">
        <v>180</v>
      </c>
      <c r="F40" s="191" t="s">
        <v>111</v>
      </c>
      <c r="G40" s="205" t="str">
        <f>IF(Form_1040NR_2016!J10="","",Form_1040NR_2016!J10)</f>
        <v>Yes</v>
      </c>
      <c r="I40" s="192"/>
      <c r="J40" s="116"/>
    </row>
    <row r="41" spans="1:11" x14ac:dyDescent="0.45">
      <c r="A41" s="188" t="s">
        <v>33</v>
      </c>
      <c r="B41" s="189" t="s">
        <v>171</v>
      </c>
      <c r="C41" s="189" t="s">
        <v>178</v>
      </c>
      <c r="D41" s="189" t="s">
        <v>177</v>
      </c>
      <c r="E41" s="190" t="s">
        <v>177</v>
      </c>
      <c r="F41" s="191" t="s">
        <v>112</v>
      </c>
      <c r="G41" s="205" t="str">
        <f>IF(Form_1040NR_2016!J11="","",Form_1040NR_2016!J11)</f>
        <v>No</v>
      </c>
      <c r="I41" s="192"/>
      <c r="J41" s="116"/>
    </row>
    <row r="42" spans="1:11" x14ac:dyDescent="0.45">
      <c r="A42" s="188" t="s">
        <v>34</v>
      </c>
      <c r="B42" s="189" t="s">
        <v>171</v>
      </c>
      <c r="C42" s="189" t="s">
        <v>179</v>
      </c>
      <c r="D42" s="189" t="s">
        <v>177</v>
      </c>
      <c r="E42" s="190" t="s">
        <v>180</v>
      </c>
      <c r="F42" s="191" t="s">
        <v>113</v>
      </c>
      <c r="G42" s="205" t="str">
        <f>IF(Form_1040NR_2016!J12="","",Form_1040NR_2016!J12)</f>
        <v>Yes</v>
      </c>
      <c r="I42" s="192"/>
      <c r="J42" s="116"/>
    </row>
    <row r="43" spans="1:11" ht="28.5" x14ac:dyDescent="0.45">
      <c r="A43" s="188" t="s">
        <v>35</v>
      </c>
      <c r="B43" s="189" t="s">
        <v>176</v>
      </c>
      <c r="C43" s="189"/>
      <c r="D43" s="189" t="s">
        <v>177</v>
      </c>
      <c r="E43" s="190"/>
      <c r="F43" s="191" t="s">
        <v>114</v>
      </c>
      <c r="G43" s="205" t="str">
        <f>IF(Form_1040NR_2016!J13="","",Form_1040NR_2016!J13)</f>
        <v/>
      </c>
      <c r="I43" s="192"/>
      <c r="J43" s="116"/>
    </row>
    <row r="44" spans="1:11" x14ac:dyDescent="0.45">
      <c r="A44" s="188" t="s">
        <v>36</v>
      </c>
      <c r="B44" s="189" t="s">
        <v>171</v>
      </c>
      <c r="C44" s="189" t="s">
        <v>178</v>
      </c>
      <c r="D44" s="189" t="s">
        <v>177</v>
      </c>
      <c r="E44" s="190" t="s">
        <v>177</v>
      </c>
      <c r="F44" s="191" t="s">
        <v>115</v>
      </c>
      <c r="G44" s="205" t="str">
        <f>IF(Form_1040NR_2016!J14="","",Form_1040NR_2016!J14)</f>
        <v>No</v>
      </c>
      <c r="J44" s="116"/>
    </row>
    <row r="45" spans="1:11" x14ac:dyDescent="0.45">
      <c r="A45" s="188" t="s">
        <v>37</v>
      </c>
      <c r="B45" s="189" t="s">
        <v>171</v>
      </c>
      <c r="C45" s="189" t="s">
        <v>179</v>
      </c>
      <c r="D45" s="189" t="s">
        <v>177</v>
      </c>
      <c r="E45" s="190" t="s">
        <v>180</v>
      </c>
      <c r="F45" s="191" t="s">
        <v>117</v>
      </c>
      <c r="G45" s="205" t="str">
        <f>IF(Form_1040NR_2016!J15="","",Form_1040NR_2016!J15)</f>
        <v>Yes</v>
      </c>
      <c r="J45" s="116"/>
    </row>
    <row r="46" spans="1:11" x14ac:dyDescent="0.45">
      <c r="A46" s="188" t="s">
        <v>38</v>
      </c>
      <c r="B46" s="189" t="s">
        <v>176</v>
      </c>
      <c r="C46" s="189"/>
      <c r="D46" s="189" t="s">
        <v>177</v>
      </c>
      <c r="E46" s="190"/>
      <c r="F46" s="191" t="s">
        <v>116</v>
      </c>
      <c r="G46" s="205" t="str">
        <f>IF(Form_1040NR_2016!J16="","",Form_1040NR_2016!J16)</f>
        <v/>
      </c>
      <c r="J46" s="116"/>
    </row>
    <row r="47" spans="1:11" ht="28.5" x14ac:dyDescent="0.45">
      <c r="A47" s="188" t="s">
        <v>39</v>
      </c>
      <c r="B47" s="189" t="s">
        <v>171</v>
      </c>
      <c r="C47" s="189" t="s">
        <v>178</v>
      </c>
      <c r="D47" s="189" t="s">
        <v>177</v>
      </c>
      <c r="E47" s="190" t="s">
        <v>177</v>
      </c>
      <c r="F47" s="191" t="s">
        <v>118</v>
      </c>
      <c r="G47" s="205" t="str">
        <f>IF(Form_1040NR_2016!J17="","",Form_1040NR_2016!J17)</f>
        <v/>
      </c>
      <c r="J47" s="116"/>
    </row>
    <row r="48" spans="1:11" ht="28.5" x14ac:dyDescent="0.45">
      <c r="A48" s="188" t="s">
        <v>40</v>
      </c>
      <c r="B48" s="189" t="s">
        <v>171</v>
      </c>
      <c r="C48" s="189" t="s">
        <v>179</v>
      </c>
      <c r="D48" s="189" t="s">
        <v>177</v>
      </c>
      <c r="E48" s="190" t="s">
        <v>177</v>
      </c>
      <c r="F48" s="191" t="s">
        <v>119</v>
      </c>
      <c r="G48" s="205" t="str">
        <f>IF(Form_1040NR_2016!J18="","",Form_1040NR_2016!J18)</f>
        <v/>
      </c>
      <c r="J48" s="116"/>
    </row>
    <row r="49" spans="1:10" x14ac:dyDescent="0.45">
      <c r="A49" s="188" t="s">
        <v>41</v>
      </c>
      <c r="B49" s="189" t="s">
        <v>176</v>
      </c>
      <c r="C49" s="189" t="s">
        <v>181</v>
      </c>
      <c r="D49" s="189" t="s">
        <v>177</v>
      </c>
      <c r="E49" s="190" t="s">
        <v>182</v>
      </c>
      <c r="F49" s="191" t="s">
        <v>120</v>
      </c>
      <c r="G49" s="205" t="str">
        <f>IF(Form_1040NR_2016!J19="","",Form_1040NR_2016!J19)</f>
        <v/>
      </c>
      <c r="H49" s="193"/>
      <c r="I49" s="193"/>
      <c r="J49" s="116"/>
    </row>
    <row r="50" spans="1:10" x14ac:dyDescent="0.45">
      <c r="A50" s="188" t="s">
        <v>42</v>
      </c>
      <c r="B50" s="189" t="s">
        <v>176</v>
      </c>
      <c r="C50" s="189" t="s">
        <v>181</v>
      </c>
      <c r="D50" s="189" t="s">
        <v>177</v>
      </c>
      <c r="E50" s="190" t="s">
        <v>183</v>
      </c>
      <c r="F50" s="191" t="s">
        <v>121</v>
      </c>
      <c r="G50" s="205" t="str">
        <f>IF(Form_1040NR_2016!J20="","",Form_1040NR_2016!J20)</f>
        <v/>
      </c>
      <c r="H50" s="193"/>
      <c r="I50" s="193"/>
      <c r="J50" s="116"/>
    </row>
    <row r="51" spans="1:10" x14ac:dyDescent="0.45">
      <c r="A51" s="188" t="s">
        <v>157</v>
      </c>
      <c r="B51" s="189" t="s">
        <v>176</v>
      </c>
      <c r="C51" s="189" t="s">
        <v>181</v>
      </c>
      <c r="D51" s="189" t="s">
        <v>177</v>
      </c>
      <c r="E51" s="190"/>
      <c r="F51" s="191" t="s">
        <v>120</v>
      </c>
      <c r="G51" s="205" t="str">
        <f>IF(Form_1040NR_2016!J21="","",Form_1040NR_2016!J21)</f>
        <v/>
      </c>
      <c r="H51" s="193"/>
      <c r="I51" s="193"/>
      <c r="J51" s="116"/>
    </row>
    <row r="52" spans="1:10" x14ac:dyDescent="0.45">
      <c r="A52" s="188" t="s">
        <v>158</v>
      </c>
      <c r="B52" s="189" t="s">
        <v>176</v>
      </c>
      <c r="C52" s="189" t="s">
        <v>181</v>
      </c>
      <c r="D52" s="189" t="s">
        <v>177</v>
      </c>
      <c r="E52" s="190"/>
      <c r="F52" s="191" t="s">
        <v>121</v>
      </c>
      <c r="G52" s="205" t="str">
        <f>IF(Form_1040NR_2016!J22="","",Form_1040NR_2016!J22)</f>
        <v/>
      </c>
      <c r="H52" s="193"/>
      <c r="I52" s="193"/>
      <c r="J52" s="116"/>
    </row>
    <row r="53" spans="1:10" x14ac:dyDescent="0.45">
      <c r="A53" s="188" t="s">
        <v>159</v>
      </c>
      <c r="B53" s="189" t="s">
        <v>176</v>
      </c>
      <c r="C53" s="189" t="s">
        <v>181</v>
      </c>
      <c r="D53" s="189" t="s">
        <v>177</v>
      </c>
      <c r="E53" s="190"/>
      <c r="F53" s="191" t="s">
        <v>120</v>
      </c>
      <c r="G53" s="205" t="str">
        <f>IF(Form_1040NR_2016!J23="","",Form_1040NR_2016!J23)</f>
        <v/>
      </c>
      <c r="H53" s="193"/>
      <c r="I53" s="193"/>
      <c r="J53" s="116"/>
    </row>
    <row r="54" spans="1:10" x14ac:dyDescent="0.45">
      <c r="A54" s="188" t="s">
        <v>160</v>
      </c>
      <c r="B54" s="189" t="s">
        <v>176</v>
      </c>
      <c r="C54" s="189" t="s">
        <v>181</v>
      </c>
      <c r="D54" s="189" t="s">
        <v>177</v>
      </c>
      <c r="E54" s="190"/>
      <c r="F54" s="191" t="s">
        <v>121</v>
      </c>
      <c r="G54" s="205" t="str">
        <f>IF(Form_1040NR_2016!J24="","",Form_1040NR_2016!J24)</f>
        <v/>
      </c>
      <c r="H54" s="193"/>
      <c r="I54" s="193"/>
      <c r="J54" s="116"/>
    </row>
    <row r="55" spans="1:10" x14ac:dyDescent="0.45">
      <c r="A55" s="188" t="s">
        <v>364</v>
      </c>
      <c r="B55" s="189" t="s">
        <v>176</v>
      </c>
      <c r="C55" s="189" t="s">
        <v>181</v>
      </c>
      <c r="D55" s="189" t="s">
        <v>177</v>
      </c>
      <c r="E55" s="190"/>
      <c r="F55" s="191" t="s">
        <v>120</v>
      </c>
      <c r="G55" s="205" t="str">
        <f>IF(Form_1040NR_2016!J25="","",Form_1040NR_2016!J25)</f>
        <v/>
      </c>
      <c r="H55" s="193"/>
      <c r="I55" s="193"/>
      <c r="J55" s="116"/>
    </row>
    <row r="56" spans="1:10" x14ac:dyDescent="0.45">
      <c r="A56" s="188" t="s">
        <v>365</v>
      </c>
      <c r="B56" s="189" t="s">
        <v>176</v>
      </c>
      <c r="C56" s="189" t="s">
        <v>181</v>
      </c>
      <c r="D56" s="189" t="s">
        <v>177</v>
      </c>
      <c r="E56" s="190"/>
      <c r="F56" s="191" t="s">
        <v>121</v>
      </c>
      <c r="G56" s="205" t="str">
        <f>IF(Form_1040NR_2016!J26="","",Form_1040NR_2016!J26)</f>
        <v/>
      </c>
      <c r="H56" s="193"/>
      <c r="I56" s="193"/>
      <c r="J56" s="116"/>
    </row>
    <row r="57" spans="1:10" ht="28.5" x14ac:dyDescent="0.45">
      <c r="A57" s="188" t="s">
        <v>402</v>
      </c>
      <c r="B57" s="189" t="s">
        <v>176</v>
      </c>
      <c r="C57" s="189" t="s">
        <v>181</v>
      </c>
      <c r="D57" s="189" t="s">
        <v>177</v>
      </c>
      <c r="E57" s="190"/>
      <c r="F57" s="191" t="s">
        <v>122</v>
      </c>
      <c r="G57" s="205" t="str">
        <f>IF(Form_1040NR_2016!J27="","",Form_1040NR_2016!J27)</f>
        <v/>
      </c>
      <c r="H57" s="193"/>
      <c r="I57" s="193"/>
      <c r="J57" s="116"/>
    </row>
    <row r="58" spans="1:10" ht="28.5" x14ac:dyDescent="0.45">
      <c r="A58" s="188" t="s">
        <v>403</v>
      </c>
      <c r="B58" s="189" t="s">
        <v>176</v>
      </c>
      <c r="C58" s="189" t="s">
        <v>181</v>
      </c>
      <c r="D58" s="189" t="s">
        <v>177</v>
      </c>
      <c r="E58" s="190"/>
      <c r="F58" s="191" t="s">
        <v>122</v>
      </c>
      <c r="G58" s="205" t="str">
        <f>IF(Form_1040NR_2016!J28="","",Form_1040NR_2016!J28)</f>
        <v/>
      </c>
      <c r="H58" s="193"/>
      <c r="I58" s="193"/>
      <c r="J58" s="116"/>
    </row>
    <row r="59" spans="1:10" ht="28.5" x14ac:dyDescent="0.45">
      <c r="A59" s="188" t="s">
        <v>404</v>
      </c>
      <c r="B59" s="189" t="s">
        <v>176</v>
      </c>
      <c r="C59" s="189" t="s">
        <v>181</v>
      </c>
      <c r="D59" s="189" t="s">
        <v>177</v>
      </c>
      <c r="E59" s="190"/>
      <c r="F59" s="191" t="s">
        <v>122</v>
      </c>
      <c r="G59" s="205" t="str">
        <f>IF(Form_1040NR_2016!J29="","",Form_1040NR_2016!J29)</f>
        <v/>
      </c>
      <c r="H59" s="193"/>
      <c r="I59" s="193"/>
      <c r="J59" s="116"/>
    </row>
    <row r="60" spans="1:10" x14ac:dyDescent="0.45">
      <c r="A60" s="188" t="s">
        <v>43</v>
      </c>
      <c r="B60" s="189" t="s">
        <v>171</v>
      </c>
      <c r="C60" s="189" t="s">
        <v>178</v>
      </c>
      <c r="D60" s="189" t="s">
        <v>177</v>
      </c>
      <c r="E60" s="190" t="s">
        <v>177</v>
      </c>
      <c r="F60" s="191" t="s">
        <v>123</v>
      </c>
      <c r="G60" s="298" t="str">
        <f>IF(Form_1040NR_2016!J30="","",Form_1040NR_2016!J30)</f>
        <v>No</v>
      </c>
      <c r="H60" s="193"/>
      <c r="I60" s="193"/>
      <c r="J60" s="116"/>
    </row>
    <row r="61" spans="1:10" x14ac:dyDescent="0.45">
      <c r="A61" s="188" t="s">
        <v>44</v>
      </c>
      <c r="B61" s="189" t="s">
        <v>171</v>
      </c>
      <c r="C61" s="189" t="s">
        <v>179</v>
      </c>
      <c r="D61" s="189" t="s">
        <v>177</v>
      </c>
      <c r="E61" s="190" t="s">
        <v>180</v>
      </c>
      <c r="F61" s="191" t="s">
        <v>124</v>
      </c>
      <c r="G61" s="298" t="str">
        <f>IF(Form_1040NR_2016!J31="","",Form_1040NR_2016!J31)</f>
        <v>Yes</v>
      </c>
      <c r="H61" s="193"/>
      <c r="I61" s="193"/>
      <c r="J61" s="116"/>
    </row>
    <row r="62" spans="1:10" x14ac:dyDescent="0.45">
      <c r="A62" s="188" t="s">
        <v>45</v>
      </c>
      <c r="B62" s="189" t="s">
        <v>176</v>
      </c>
      <c r="C62" s="189"/>
      <c r="D62" s="189" t="s">
        <v>177</v>
      </c>
      <c r="E62" s="190" t="s">
        <v>184</v>
      </c>
      <c r="F62" s="191" t="s">
        <v>125</v>
      </c>
      <c r="G62" s="298" t="str">
        <f>IF(Form_1040NR_2016!J32="","",Form_1040NR_2016!J32)</f>
        <v/>
      </c>
      <c r="H62" s="193"/>
      <c r="I62" s="193"/>
      <c r="J62" s="116"/>
    </row>
    <row r="63" spans="1:10" x14ac:dyDescent="0.45">
      <c r="A63" s="188" t="s">
        <v>46</v>
      </c>
      <c r="B63" s="189" t="s">
        <v>171</v>
      </c>
      <c r="C63" s="189" t="s">
        <v>178</v>
      </c>
      <c r="D63" s="189" t="s">
        <v>177</v>
      </c>
      <c r="E63" s="190" t="s">
        <v>177</v>
      </c>
      <c r="F63" s="191" t="s">
        <v>126</v>
      </c>
      <c r="G63" s="298" t="str">
        <f>IF(Form_1040NR_2016!J33="","",Form_1040NR_2016!J33)</f>
        <v>No</v>
      </c>
      <c r="H63" s="193"/>
      <c r="I63" s="193"/>
      <c r="J63" s="116"/>
    </row>
    <row r="64" spans="1:10" x14ac:dyDescent="0.45">
      <c r="A64" s="188" t="s">
        <v>47</v>
      </c>
      <c r="B64" s="189" t="s">
        <v>171</v>
      </c>
      <c r="C64" s="189" t="s">
        <v>179</v>
      </c>
      <c r="D64" s="189" t="s">
        <v>177</v>
      </c>
      <c r="E64" s="190" t="s">
        <v>180</v>
      </c>
      <c r="F64" s="191" t="s">
        <v>127</v>
      </c>
      <c r="G64" s="298" t="str">
        <f>IF(Form_1040NR_2016!J34="","",Form_1040NR_2016!J34)</f>
        <v>Yes</v>
      </c>
      <c r="H64" s="193"/>
      <c r="I64" s="193"/>
      <c r="J64" s="116"/>
    </row>
    <row r="65" spans="1:10" ht="28.5" x14ac:dyDescent="0.45">
      <c r="A65" s="188" t="s">
        <v>48</v>
      </c>
      <c r="B65" s="189" t="s">
        <v>171</v>
      </c>
      <c r="C65" s="189" t="s">
        <v>178</v>
      </c>
      <c r="D65" s="189" t="s">
        <v>177</v>
      </c>
      <c r="E65" s="190" t="s">
        <v>177</v>
      </c>
      <c r="F65" s="191" t="s">
        <v>128</v>
      </c>
      <c r="G65" s="355" t="str">
        <f>IF(G63="No","No",IF(Form_1040NR_2016!J35="","",Form_1040NR_2016!J35))</f>
        <v>No</v>
      </c>
      <c r="J65" s="116"/>
    </row>
    <row r="66" spans="1:10" ht="28.5" x14ac:dyDescent="0.45">
      <c r="A66" s="188" t="s">
        <v>49</v>
      </c>
      <c r="B66" s="189" t="s">
        <v>171</v>
      </c>
      <c r="C66" s="189" t="s">
        <v>179</v>
      </c>
      <c r="D66" s="189" t="s">
        <v>177</v>
      </c>
      <c r="E66" s="190" t="s">
        <v>180</v>
      </c>
      <c r="F66" s="191" t="s">
        <v>128</v>
      </c>
      <c r="G66" s="355" t="str">
        <f>IF(G63="No","No",IF(Form_1040NR_2016!J36="","",Form_1040NR_2016!J36))</f>
        <v>No</v>
      </c>
      <c r="J66" s="116"/>
    </row>
    <row r="67" spans="1:10" x14ac:dyDescent="0.45">
      <c r="A67" s="188" t="s">
        <v>50</v>
      </c>
      <c r="B67" s="189" t="s">
        <v>171</v>
      </c>
      <c r="C67" s="189" t="s">
        <v>178</v>
      </c>
      <c r="D67" s="189" t="s">
        <v>177</v>
      </c>
      <c r="E67" s="190" t="s">
        <v>177</v>
      </c>
      <c r="F67" s="191" t="s">
        <v>129</v>
      </c>
      <c r="G67" s="298" t="str">
        <f>IF(Form_1040NR_2016!J37="","",Form_1040NR_2016!J37)</f>
        <v>No</v>
      </c>
    </row>
    <row r="68" spans="1:10" x14ac:dyDescent="0.45">
      <c r="A68" s="188" t="s">
        <v>51</v>
      </c>
      <c r="B68" s="189" t="s">
        <v>171</v>
      </c>
      <c r="C68" s="189" t="s">
        <v>179</v>
      </c>
      <c r="D68" s="189" t="s">
        <v>177</v>
      </c>
      <c r="E68" s="190" t="s">
        <v>180</v>
      </c>
      <c r="F68" s="191" t="s">
        <v>130</v>
      </c>
      <c r="G68" s="298" t="str">
        <f>IF(Form_1040NR_2016!J38="","",Form_1040NR_2016!J38)</f>
        <v>Yes</v>
      </c>
    </row>
    <row r="69" spans="1:10" x14ac:dyDescent="0.45">
      <c r="A69" s="188" t="s">
        <v>52</v>
      </c>
      <c r="B69" s="189" t="s">
        <v>171</v>
      </c>
      <c r="C69" s="189" t="s">
        <v>178</v>
      </c>
      <c r="D69" s="189" t="s">
        <v>177</v>
      </c>
      <c r="E69" s="190" t="s">
        <v>177</v>
      </c>
      <c r="F69" s="191" t="s">
        <v>131</v>
      </c>
      <c r="G69" s="355" t="str">
        <f>IF(G67="No","No",IF(Form_1040NR_2016!J39="","",Form_1040NR_2016!J39))</f>
        <v>No</v>
      </c>
    </row>
    <row r="70" spans="1:10" x14ac:dyDescent="0.45">
      <c r="A70" s="188" t="s">
        <v>53</v>
      </c>
      <c r="B70" s="189" t="s">
        <v>171</v>
      </c>
      <c r="C70" s="189" t="s">
        <v>179</v>
      </c>
      <c r="D70" s="189" t="s">
        <v>177</v>
      </c>
      <c r="E70" s="190" t="s">
        <v>180</v>
      </c>
      <c r="F70" s="191" t="s">
        <v>132</v>
      </c>
      <c r="G70" s="355" t="str">
        <f>IF(G67="No","No",IF(Form_1040NR_2016!J40="","",Form_1040NR_2016!J40))</f>
        <v>No</v>
      </c>
    </row>
    <row r="71" spans="1:10" x14ac:dyDescent="0.45">
      <c r="A71" s="188" t="s">
        <v>0</v>
      </c>
      <c r="B71" s="189" t="s">
        <v>176</v>
      </c>
      <c r="C71" s="189"/>
      <c r="D71" s="189" t="s">
        <v>177</v>
      </c>
      <c r="E71" s="190" t="s">
        <v>172</v>
      </c>
      <c r="F71" s="191" t="s">
        <v>133</v>
      </c>
      <c r="G71" s="205" t="str">
        <f>UPPER(General!C20)</f>
        <v/>
      </c>
    </row>
    <row r="72" spans="1:10" x14ac:dyDescent="0.45">
      <c r="A72" s="184" t="s">
        <v>1</v>
      </c>
      <c r="B72" s="178" t="s">
        <v>176</v>
      </c>
      <c r="C72" s="178"/>
      <c r="D72" s="178" t="s">
        <v>177</v>
      </c>
      <c r="E72" s="185" t="s">
        <v>189</v>
      </c>
      <c r="F72" s="186" t="s">
        <v>134</v>
      </c>
      <c r="G72" s="177">
        <f>VLOOKUP(E71,Lists!L3:M24,2,FALSE)</f>
        <v>11</v>
      </c>
      <c r="H72" s="178"/>
      <c r="I72" s="178"/>
    </row>
    <row r="73" spans="1:10" x14ac:dyDescent="0.45">
      <c r="A73" s="295" t="s">
        <v>2</v>
      </c>
      <c r="B73" s="294" t="s">
        <v>176</v>
      </c>
      <c r="C73" s="294"/>
      <c r="D73" s="294" t="s">
        <v>177</v>
      </c>
      <c r="E73" s="296" t="s">
        <v>190</v>
      </c>
      <c r="F73" s="297" t="s">
        <v>135</v>
      </c>
      <c r="G73" s="293" t="s">
        <v>423</v>
      </c>
      <c r="H73" s="294" t="s">
        <v>362</v>
      </c>
      <c r="I73" s="294" t="s">
        <v>363</v>
      </c>
    </row>
    <row r="74" spans="1:10" x14ac:dyDescent="0.45">
      <c r="A74" s="184" t="s">
        <v>3</v>
      </c>
      <c r="B74" s="178" t="s">
        <v>176</v>
      </c>
      <c r="C74" s="178"/>
      <c r="D74" s="178" t="s">
        <v>177</v>
      </c>
      <c r="E74" s="185" t="s">
        <v>191</v>
      </c>
      <c r="F74" s="186" t="s">
        <v>136</v>
      </c>
      <c r="G74" s="255" t="str">
        <f>$G$18 &amp; "." &amp; $G$19</f>
        <v>0.0</v>
      </c>
      <c r="H74" s="178" t="s">
        <v>362</v>
      </c>
      <c r="I74" s="178" t="s">
        <v>363</v>
      </c>
    </row>
    <row r="75" spans="1:10" x14ac:dyDescent="0.45">
      <c r="A75" s="184" t="s">
        <v>4</v>
      </c>
      <c r="B75" s="178" t="s">
        <v>176</v>
      </c>
      <c r="C75" s="178"/>
      <c r="D75" s="178" t="s">
        <v>177</v>
      </c>
      <c r="E75" s="185" t="s">
        <v>191</v>
      </c>
      <c r="F75" s="186" t="s">
        <v>137</v>
      </c>
      <c r="G75" s="255" t="str">
        <f>$G$18 &amp; "." &amp; $G$19</f>
        <v>0.0</v>
      </c>
      <c r="H75" s="178" t="s">
        <v>362</v>
      </c>
      <c r="I75" s="178" t="s">
        <v>363</v>
      </c>
    </row>
    <row r="76" spans="1:10" x14ac:dyDescent="0.45">
      <c r="A76" s="188" t="s">
        <v>54</v>
      </c>
      <c r="B76" s="189" t="s">
        <v>171</v>
      </c>
      <c r="C76" s="189" t="s">
        <v>178</v>
      </c>
      <c r="D76" s="189" t="s">
        <v>177</v>
      </c>
      <c r="E76" s="190" t="s">
        <v>177</v>
      </c>
      <c r="F76" s="191" t="s">
        <v>138</v>
      </c>
      <c r="G76" s="298" t="str">
        <f>IF(Form_1040NR_2016!J41="","",Form_1040NR_2016!J41)</f>
        <v>No</v>
      </c>
      <c r="I76" s="315"/>
      <c r="J76" s="347" t="str">
        <f>Form_1040NR_2016!F31</f>
        <v xml:space="preserve"> 2.  Were you subject to tax in a foreign country on any of the income shown in 1(d) above?</v>
      </c>
    </row>
    <row r="77" spans="1:10" x14ac:dyDescent="0.45">
      <c r="A77" s="188" t="s">
        <v>55</v>
      </c>
      <c r="B77" s="189" t="s">
        <v>171</v>
      </c>
      <c r="C77" s="189" t="s">
        <v>179</v>
      </c>
      <c r="D77" s="189" t="s">
        <v>177</v>
      </c>
      <c r="E77" s="190" t="s">
        <v>180</v>
      </c>
      <c r="F77" s="191" t="s">
        <v>138</v>
      </c>
      <c r="G77" s="298" t="str">
        <f>IF(Form_1040NR_2016!J42="","",Form_1040NR_2016!J42)</f>
        <v>Yes</v>
      </c>
      <c r="I77" s="315"/>
      <c r="J77" s="347"/>
    </row>
    <row r="78" spans="1:10" x14ac:dyDescent="0.45">
      <c r="A78" s="188" t="s">
        <v>56</v>
      </c>
      <c r="B78" s="189" t="s">
        <v>171</v>
      </c>
      <c r="C78" s="189" t="s">
        <v>178</v>
      </c>
      <c r="D78" s="189" t="s">
        <v>177</v>
      </c>
      <c r="E78" s="190" t="s">
        <v>177</v>
      </c>
      <c r="F78" s="191" t="s">
        <v>139</v>
      </c>
      <c r="G78" s="298" t="str">
        <f>IF(Form_1040NR_2016!J43="","",Form_1040NR_2016!J43)</f>
        <v>No</v>
      </c>
      <c r="I78" s="315"/>
      <c r="J78" s="347" t="str">
        <f>Form_1040NR_2016!F32</f>
        <v xml:space="preserve"> 3.  Are you claiming treaty benefits pursuant to a Competent Authority determination?</v>
      </c>
    </row>
    <row r="79" spans="1:10" x14ac:dyDescent="0.45">
      <c r="A79" s="188" t="s">
        <v>57</v>
      </c>
      <c r="B79" s="189" t="s">
        <v>171</v>
      </c>
      <c r="C79" s="189" t="s">
        <v>179</v>
      </c>
      <c r="D79" s="189" t="s">
        <v>177</v>
      </c>
      <c r="E79" s="190" t="s">
        <v>180</v>
      </c>
      <c r="F79" s="191" t="s">
        <v>139</v>
      </c>
      <c r="G79" s="298" t="str">
        <f>IF(Form_1040NR_2016!J44="","",Form_1040NR_2016!J44)</f>
        <v>Yes</v>
      </c>
      <c r="I79" s="315"/>
      <c r="J79" s="347"/>
    </row>
    <row r="80" spans="1:10" x14ac:dyDescent="0.45">
      <c r="A80" s="194" t="s">
        <v>394</v>
      </c>
      <c r="H80" s="193"/>
      <c r="I80" s="193"/>
    </row>
    <row r="81" spans="1:9" x14ac:dyDescent="0.45">
      <c r="A81" s="194" t="s">
        <v>395</v>
      </c>
      <c r="H81" s="193"/>
      <c r="I81" s="193"/>
    </row>
    <row r="82" spans="1:9" x14ac:dyDescent="0.45">
      <c r="A82" s="194" t="s">
        <v>396</v>
      </c>
      <c r="H82" s="193"/>
      <c r="I82" s="193"/>
    </row>
    <row r="83" spans="1:9" x14ac:dyDescent="0.45">
      <c r="A83" s="194" t="s">
        <v>331</v>
      </c>
    </row>
    <row r="84" spans="1:9" x14ac:dyDescent="0.45">
      <c r="A84" s="194" t="s">
        <v>335</v>
      </c>
    </row>
  </sheetData>
  <sheetProtection password="DA43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92D050"/>
  </sheetPr>
  <dimension ref="A1:P175"/>
  <sheetViews>
    <sheetView showGridLines="0" showRowColHeaders="0" topLeftCell="A3" workbookViewId="0">
      <selection activeCell="A3" sqref="A3"/>
    </sheetView>
  </sheetViews>
  <sheetFormatPr defaultRowHeight="14.25" x14ac:dyDescent="0.45"/>
  <cols>
    <col min="1" max="1" width="1.86328125" style="167" customWidth="1"/>
    <col min="2" max="2" width="6.53125" style="170" customWidth="1"/>
    <col min="3" max="3" width="12.796875" style="206" customWidth="1"/>
    <col min="4" max="4" width="9.796875" style="207" customWidth="1"/>
    <col min="5" max="5" width="0.3984375" style="207" hidden="1" customWidth="1"/>
    <col min="6" max="6" width="15.46484375" style="207" customWidth="1"/>
    <col min="7" max="7" width="21.6640625" style="167" customWidth="1"/>
    <col min="8" max="8" width="10.9296875" style="168" customWidth="1"/>
    <col min="9" max="9" width="17.33203125" style="168" customWidth="1"/>
    <col min="10" max="10" width="28.86328125" style="167" customWidth="1"/>
    <col min="11" max="11" width="24.19921875" style="167" customWidth="1"/>
    <col min="12" max="12" width="20.3984375" style="167" customWidth="1"/>
    <col min="13" max="13" width="20.265625" style="167" customWidth="1"/>
    <col min="14" max="14" width="22.1328125" style="167" customWidth="1"/>
    <col min="15" max="15" width="13.19921875" style="167" customWidth="1"/>
    <col min="16" max="16384" width="9.06640625" style="167"/>
  </cols>
  <sheetData>
    <row r="1" spans="1:16" hidden="1" x14ac:dyDescent="0.45">
      <c r="A1" s="175"/>
      <c r="B1" s="172"/>
      <c r="C1" s="209"/>
      <c r="D1" s="222"/>
      <c r="E1" s="222"/>
      <c r="F1" s="225" t="s">
        <v>390</v>
      </c>
      <c r="G1" s="226">
        <v>0.9</v>
      </c>
      <c r="H1" s="210"/>
      <c r="I1" s="210"/>
      <c r="J1" s="175"/>
      <c r="K1" s="175"/>
      <c r="L1" s="175"/>
      <c r="M1" s="175"/>
      <c r="N1" s="175"/>
      <c r="O1" s="175"/>
      <c r="P1" s="175"/>
    </row>
    <row r="2" spans="1:16" hidden="1" x14ac:dyDescent="0.45">
      <c r="A2" s="175"/>
      <c r="B2" s="172"/>
      <c r="C2" s="209"/>
      <c r="D2" s="227"/>
      <c r="E2" s="227"/>
      <c r="F2" s="227">
        <f>SUM(F7:F30)</f>
        <v>0</v>
      </c>
      <c r="G2" s="228">
        <f>F2*G1</f>
        <v>0</v>
      </c>
      <c r="H2" s="210"/>
      <c r="I2" s="210"/>
      <c r="J2" s="175"/>
      <c r="K2" s="175"/>
      <c r="L2" s="175"/>
      <c r="M2" s="175"/>
      <c r="N2" s="175"/>
      <c r="O2" s="175"/>
      <c r="P2" s="175"/>
    </row>
    <row r="3" spans="1:16" s="169" customFormat="1" ht="32.25" customHeight="1" x14ac:dyDescent="0.45">
      <c r="A3" s="171"/>
      <c r="B3" s="299">
        <v>2015</v>
      </c>
      <c r="C3" s="240" t="s">
        <v>393</v>
      </c>
      <c r="D3" s="227"/>
      <c r="E3" s="227"/>
      <c r="F3" s="227"/>
      <c r="G3" s="227"/>
      <c r="H3" s="173"/>
      <c r="I3" s="173"/>
      <c r="J3" s="171"/>
      <c r="K3" s="171"/>
      <c r="L3" s="171"/>
      <c r="M3" s="171"/>
      <c r="N3" s="171"/>
      <c r="O3" s="171"/>
      <c r="P3" s="171"/>
    </row>
    <row r="4" spans="1:16" s="169" customFormat="1" ht="14.65" thickBot="1" x14ac:dyDescent="0.5">
      <c r="A4" s="171"/>
      <c r="B4" s="172"/>
      <c r="C4" s="220"/>
      <c r="D4" s="222"/>
      <c r="E4" s="222"/>
      <c r="F4" s="222"/>
      <c r="G4" s="171"/>
      <c r="H4" s="173"/>
      <c r="I4" s="173"/>
      <c r="J4" s="171"/>
      <c r="K4" s="171"/>
      <c r="L4" s="171"/>
      <c r="M4" s="171"/>
      <c r="N4" s="171"/>
      <c r="O4" s="171"/>
      <c r="P4" s="171"/>
    </row>
    <row r="5" spans="1:16" s="170" customFormat="1" ht="14.65" thickTop="1" x14ac:dyDescent="0.45">
      <c r="A5" s="172"/>
      <c r="B5" s="211"/>
      <c r="C5" s="212" t="s">
        <v>371</v>
      </c>
      <c r="D5" s="213" t="s">
        <v>379</v>
      </c>
      <c r="E5" s="213" t="s">
        <v>391</v>
      </c>
      <c r="F5" s="213" t="s">
        <v>390</v>
      </c>
      <c r="G5" s="214" t="s">
        <v>372</v>
      </c>
      <c r="H5" s="214" t="s">
        <v>373</v>
      </c>
      <c r="I5" s="214" t="s">
        <v>374</v>
      </c>
      <c r="J5" s="214" t="s">
        <v>375</v>
      </c>
      <c r="K5" s="214" t="s">
        <v>388</v>
      </c>
      <c r="L5" s="214" t="s">
        <v>389</v>
      </c>
      <c r="M5" s="214" t="s">
        <v>378</v>
      </c>
      <c r="N5" s="214" t="s">
        <v>377</v>
      </c>
      <c r="O5" s="215" t="s">
        <v>376</v>
      </c>
      <c r="P5" s="172"/>
    </row>
    <row r="6" spans="1:16" s="208" customFormat="1" ht="14.65" thickBot="1" x14ac:dyDescent="0.5">
      <c r="A6" s="172"/>
      <c r="B6" s="231" t="s">
        <v>166</v>
      </c>
      <c r="C6" s="232">
        <v>24590.78</v>
      </c>
      <c r="D6" s="233" t="s">
        <v>380</v>
      </c>
      <c r="E6" s="234">
        <v>1.6244000000000001</v>
      </c>
      <c r="F6" s="235" t="s">
        <v>392</v>
      </c>
      <c r="G6" s="236" t="s">
        <v>381</v>
      </c>
      <c r="H6" s="237">
        <v>74456</v>
      </c>
      <c r="I6" s="237">
        <v>56745667</v>
      </c>
      <c r="J6" s="236" t="s">
        <v>382</v>
      </c>
      <c r="K6" s="236" t="s">
        <v>386</v>
      </c>
      <c r="L6" s="236" t="s">
        <v>387</v>
      </c>
      <c r="M6" s="236" t="s">
        <v>383</v>
      </c>
      <c r="N6" s="236" t="s">
        <v>384</v>
      </c>
      <c r="O6" s="238" t="s">
        <v>385</v>
      </c>
      <c r="P6" s="216"/>
    </row>
    <row r="7" spans="1:16" s="169" customFormat="1" ht="17.75" customHeight="1" thickTop="1" x14ac:dyDescent="0.45">
      <c r="A7" s="172"/>
      <c r="B7" s="211">
        <v>1</v>
      </c>
      <c r="C7" s="250"/>
      <c r="D7" s="251"/>
      <c r="E7" s="279" t="str">
        <f>IF(C7="","",VLOOKUP($B$3,Exchange_Rates!$A$2:$B$19,2,FALSE))</f>
        <v/>
      </c>
      <c r="F7" s="243" t="str">
        <f>IF(C7="","",C7*E7)</f>
        <v/>
      </c>
      <c r="G7" s="291"/>
      <c r="H7" s="290"/>
      <c r="I7" s="290"/>
      <c r="J7" s="291"/>
      <c r="K7" s="291"/>
      <c r="L7" s="291"/>
      <c r="M7" s="291"/>
      <c r="N7" s="291"/>
      <c r="O7" s="289"/>
      <c r="P7" s="171"/>
    </row>
    <row r="8" spans="1:16" s="169" customFormat="1" ht="17.75" customHeight="1" x14ac:dyDescent="0.45">
      <c r="A8" s="171"/>
      <c r="B8" s="217">
        <v>2</v>
      </c>
      <c r="C8" s="245"/>
      <c r="D8" s="246"/>
      <c r="E8" s="280" t="str">
        <f>IF(C8="","",VLOOKUP($B$3,Exchange_Rates!$A$2:$B$19,2,FALSE))</f>
        <v/>
      </c>
      <c r="F8" s="244" t="str">
        <f>IF(C8="","",C8*E8)</f>
        <v/>
      </c>
      <c r="G8" s="288"/>
      <c r="H8" s="287"/>
      <c r="I8" s="287"/>
      <c r="J8" s="288"/>
      <c r="K8" s="288"/>
      <c r="L8" s="288"/>
      <c r="M8" s="288"/>
      <c r="N8" s="288"/>
      <c r="O8" s="286"/>
      <c r="P8" s="171"/>
    </row>
    <row r="9" spans="1:16" s="169" customFormat="1" ht="17.75" customHeight="1" x14ac:dyDescent="0.45">
      <c r="A9" s="171"/>
      <c r="B9" s="217">
        <v>3</v>
      </c>
      <c r="C9" s="245"/>
      <c r="D9" s="246"/>
      <c r="E9" s="280" t="str">
        <f>IF(C9="","",VLOOKUP($B$3,Exchange_Rates!$A$2:$B$19,2,FALSE))</f>
        <v/>
      </c>
      <c r="F9" s="244" t="str">
        <f t="shared" ref="F9:F25" si="0">IF(C9="","",C9*E9)</f>
        <v/>
      </c>
      <c r="G9" s="288"/>
      <c r="H9" s="287"/>
      <c r="I9" s="287"/>
      <c r="J9" s="288"/>
      <c r="K9" s="288"/>
      <c r="L9" s="288"/>
      <c r="M9" s="288"/>
      <c r="N9" s="288"/>
      <c r="O9" s="286"/>
      <c r="P9" s="171"/>
    </row>
    <row r="10" spans="1:16" s="169" customFormat="1" ht="17.75" customHeight="1" x14ac:dyDescent="0.45">
      <c r="A10" s="171"/>
      <c r="B10" s="217">
        <v>4</v>
      </c>
      <c r="C10" s="245"/>
      <c r="D10" s="246"/>
      <c r="E10" s="280" t="str">
        <f>IF(C10="","",VLOOKUP($B$3,Exchange_Rates!$A$2:$B$19,2,FALSE))</f>
        <v/>
      </c>
      <c r="F10" s="244" t="str">
        <f t="shared" si="0"/>
        <v/>
      </c>
      <c r="G10" s="288"/>
      <c r="H10" s="287"/>
      <c r="I10" s="287"/>
      <c r="J10" s="288"/>
      <c r="K10" s="288"/>
      <c r="L10" s="288"/>
      <c r="M10" s="288"/>
      <c r="N10" s="288"/>
      <c r="O10" s="286"/>
      <c r="P10" s="171"/>
    </row>
    <row r="11" spans="1:16" s="169" customFormat="1" ht="17.75" customHeight="1" x14ac:dyDescent="0.45">
      <c r="A11" s="171"/>
      <c r="B11" s="217">
        <v>5</v>
      </c>
      <c r="C11" s="245"/>
      <c r="D11" s="246"/>
      <c r="E11" s="280" t="str">
        <f>IF(C11="","",VLOOKUP($B$3,Exchange_Rates!$A$2:$B$19,2,FALSE))</f>
        <v/>
      </c>
      <c r="F11" s="244" t="str">
        <f t="shared" si="0"/>
        <v/>
      </c>
      <c r="G11" s="288"/>
      <c r="H11" s="287"/>
      <c r="I11" s="287"/>
      <c r="J11" s="288"/>
      <c r="K11" s="288"/>
      <c r="L11" s="288"/>
      <c r="M11" s="288"/>
      <c r="N11" s="288"/>
      <c r="O11" s="286"/>
      <c r="P11" s="171"/>
    </row>
    <row r="12" spans="1:16" s="169" customFormat="1" ht="17.75" customHeight="1" x14ac:dyDescent="0.45">
      <c r="A12" s="171"/>
      <c r="B12" s="217">
        <v>6</v>
      </c>
      <c r="C12" s="245"/>
      <c r="D12" s="246"/>
      <c r="E12" s="280" t="str">
        <f>IF(C12="","",VLOOKUP($B$3,Exchange_Rates!$A$2:$B$19,2,FALSE))</f>
        <v/>
      </c>
      <c r="F12" s="244" t="str">
        <f t="shared" si="0"/>
        <v/>
      </c>
      <c r="G12" s="288"/>
      <c r="H12" s="287"/>
      <c r="I12" s="287"/>
      <c r="J12" s="288"/>
      <c r="K12" s="288"/>
      <c r="L12" s="288"/>
      <c r="M12" s="288"/>
      <c r="N12" s="288"/>
      <c r="O12" s="286"/>
      <c r="P12" s="171"/>
    </row>
    <row r="13" spans="1:16" s="169" customFormat="1" ht="17.75" customHeight="1" x14ac:dyDescent="0.45">
      <c r="A13" s="171"/>
      <c r="B13" s="217">
        <v>7</v>
      </c>
      <c r="C13" s="245"/>
      <c r="D13" s="246"/>
      <c r="E13" s="280" t="str">
        <f>IF(C13="","",VLOOKUP($B$3,Exchange_Rates!$A$2:$B$19,2,FALSE))</f>
        <v/>
      </c>
      <c r="F13" s="244" t="str">
        <f t="shared" si="0"/>
        <v/>
      </c>
      <c r="G13" s="288"/>
      <c r="H13" s="287"/>
      <c r="I13" s="287"/>
      <c r="J13" s="288"/>
      <c r="K13" s="288"/>
      <c r="L13" s="288"/>
      <c r="M13" s="288"/>
      <c r="N13" s="288"/>
      <c r="O13" s="286"/>
      <c r="P13" s="171"/>
    </row>
    <row r="14" spans="1:16" s="169" customFormat="1" ht="17.75" customHeight="1" x14ac:dyDescent="0.45">
      <c r="A14" s="171"/>
      <c r="B14" s="217">
        <v>8</v>
      </c>
      <c r="C14" s="245"/>
      <c r="D14" s="246"/>
      <c r="E14" s="280" t="str">
        <f>IF(C14="","",VLOOKUP($B$3,Exchange_Rates!$A$2:$B$19,2,FALSE))</f>
        <v/>
      </c>
      <c r="F14" s="244" t="str">
        <f t="shared" si="0"/>
        <v/>
      </c>
      <c r="G14" s="288"/>
      <c r="H14" s="287"/>
      <c r="I14" s="287"/>
      <c r="J14" s="288"/>
      <c r="K14" s="288"/>
      <c r="L14" s="288"/>
      <c r="M14" s="288"/>
      <c r="N14" s="288"/>
      <c r="O14" s="286"/>
      <c r="P14" s="171"/>
    </row>
    <row r="15" spans="1:16" s="169" customFormat="1" ht="17.75" customHeight="1" x14ac:dyDescent="0.45">
      <c r="A15" s="171"/>
      <c r="B15" s="217">
        <v>9</v>
      </c>
      <c r="C15" s="245"/>
      <c r="D15" s="246"/>
      <c r="E15" s="280" t="str">
        <f>IF(C15="","",VLOOKUP($B$3,Exchange_Rates!$A$2:$B$19,2,FALSE))</f>
        <v/>
      </c>
      <c r="F15" s="244" t="str">
        <f t="shared" si="0"/>
        <v/>
      </c>
      <c r="G15" s="288"/>
      <c r="H15" s="287"/>
      <c r="I15" s="287"/>
      <c r="J15" s="288"/>
      <c r="K15" s="288"/>
      <c r="L15" s="288"/>
      <c r="M15" s="288"/>
      <c r="N15" s="288"/>
      <c r="O15" s="286"/>
      <c r="P15" s="171"/>
    </row>
    <row r="16" spans="1:16" s="169" customFormat="1" ht="17.75" customHeight="1" x14ac:dyDescent="0.45">
      <c r="A16" s="171"/>
      <c r="B16" s="217">
        <v>10</v>
      </c>
      <c r="C16" s="245"/>
      <c r="D16" s="246"/>
      <c r="E16" s="280" t="str">
        <f>IF(C16="","",VLOOKUP($B$3,Exchange_Rates!$A$2:$B$19,2,FALSE))</f>
        <v/>
      </c>
      <c r="F16" s="244" t="str">
        <f t="shared" si="0"/>
        <v/>
      </c>
      <c r="G16" s="288"/>
      <c r="H16" s="287"/>
      <c r="I16" s="287"/>
      <c r="J16" s="288"/>
      <c r="K16" s="288"/>
      <c r="L16" s="288"/>
      <c r="M16" s="288"/>
      <c r="N16" s="288"/>
      <c r="O16" s="286"/>
      <c r="P16" s="171"/>
    </row>
    <row r="17" spans="1:16" s="169" customFormat="1" x14ac:dyDescent="0.45">
      <c r="A17" s="171"/>
      <c r="B17" s="217">
        <v>11</v>
      </c>
      <c r="C17" s="245"/>
      <c r="D17" s="246"/>
      <c r="E17" s="280" t="str">
        <f>IF(C17="","",VLOOKUP($B$3,Exchange_Rates!$A$2:$B$19,2,FALSE))</f>
        <v/>
      </c>
      <c r="F17" s="244" t="str">
        <f t="shared" si="0"/>
        <v/>
      </c>
      <c r="G17" s="288"/>
      <c r="H17" s="287"/>
      <c r="I17" s="287"/>
      <c r="J17" s="288"/>
      <c r="K17" s="288"/>
      <c r="L17" s="288"/>
      <c r="M17" s="288"/>
      <c r="N17" s="288"/>
      <c r="O17" s="286"/>
      <c r="P17" s="171"/>
    </row>
    <row r="18" spans="1:16" s="169" customFormat="1" x14ac:dyDescent="0.45">
      <c r="A18" s="171"/>
      <c r="B18" s="217">
        <v>12</v>
      </c>
      <c r="C18" s="245"/>
      <c r="D18" s="246"/>
      <c r="E18" s="280" t="str">
        <f>IF(C18="","",VLOOKUP($B$3,Exchange_Rates!$A$2:$B$19,2,FALSE))</f>
        <v/>
      </c>
      <c r="F18" s="244" t="str">
        <f t="shared" si="0"/>
        <v/>
      </c>
      <c r="G18" s="288"/>
      <c r="H18" s="287"/>
      <c r="I18" s="287"/>
      <c r="J18" s="288"/>
      <c r="K18" s="288"/>
      <c r="L18" s="288"/>
      <c r="M18" s="288"/>
      <c r="N18" s="288"/>
      <c r="O18" s="286"/>
      <c r="P18" s="171"/>
    </row>
    <row r="19" spans="1:16" s="169" customFormat="1" x14ac:dyDescent="0.45">
      <c r="A19" s="171"/>
      <c r="B19" s="217">
        <v>13</v>
      </c>
      <c r="C19" s="245"/>
      <c r="D19" s="246"/>
      <c r="E19" s="280" t="str">
        <f>IF(C19="","",VLOOKUP($B$3,Exchange_Rates!$A$2:$B$19,2,FALSE))</f>
        <v/>
      </c>
      <c r="F19" s="244" t="str">
        <f t="shared" si="0"/>
        <v/>
      </c>
      <c r="G19" s="288"/>
      <c r="H19" s="287"/>
      <c r="I19" s="287"/>
      <c r="J19" s="288"/>
      <c r="K19" s="288"/>
      <c r="L19" s="288"/>
      <c r="M19" s="288"/>
      <c r="N19" s="288"/>
      <c r="O19" s="286"/>
      <c r="P19" s="171"/>
    </row>
    <row r="20" spans="1:16" s="169" customFormat="1" x14ac:dyDescent="0.45">
      <c r="A20" s="171"/>
      <c r="B20" s="217">
        <v>14</v>
      </c>
      <c r="C20" s="245"/>
      <c r="D20" s="246"/>
      <c r="E20" s="280" t="str">
        <f>IF(C20="","",VLOOKUP($B$3,Exchange_Rates!$A$2:$B$19,2,FALSE))</f>
        <v/>
      </c>
      <c r="F20" s="244" t="str">
        <f t="shared" si="0"/>
        <v/>
      </c>
      <c r="G20" s="288"/>
      <c r="H20" s="287"/>
      <c r="I20" s="287"/>
      <c r="J20" s="288"/>
      <c r="K20" s="288"/>
      <c r="L20" s="288"/>
      <c r="M20" s="288"/>
      <c r="N20" s="288"/>
      <c r="O20" s="286"/>
      <c r="P20" s="171"/>
    </row>
    <row r="21" spans="1:16" s="169" customFormat="1" x14ac:dyDescent="0.45">
      <c r="A21" s="171"/>
      <c r="B21" s="217">
        <v>15</v>
      </c>
      <c r="C21" s="245"/>
      <c r="D21" s="246"/>
      <c r="E21" s="280" t="str">
        <f>IF(C21="","",VLOOKUP($B$3,Exchange_Rates!$A$2:$B$19,2,FALSE))</f>
        <v/>
      </c>
      <c r="F21" s="244" t="str">
        <f t="shared" si="0"/>
        <v/>
      </c>
      <c r="G21" s="288"/>
      <c r="H21" s="287"/>
      <c r="I21" s="287"/>
      <c r="J21" s="288"/>
      <c r="K21" s="288"/>
      <c r="L21" s="288"/>
      <c r="M21" s="288"/>
      <c r="N21" s="288"/>
      <c r="O21" s="286"/>
      <c r="P21" s="171"/>
    </row>
    <row r="22" spans="1:16" s="169" customFormat="1" x14ac:dyDescent="0.45">
      <c r="A22" s="171"/>
      <c r="B22" s="217">
        <v>16</v>
      </c>
      <c r="C22" s="245"/>
      <c r="D22" s="246"/>
      <c r="E22" s="280" t="str">
        <f>IF(C22="","",VLOOKUP($B$3,Exchange_Rates!$A$2:$B$19,2,FALSE))</f>
        <v/>
      </c>
      <c r="F22" s="244" t="str">
        <f t="shared" si="0"/>
        <v/>
      </c>
      <c r="G22" s="288"/>
      <c r="H22" s="287"/>
      <c r="I22" s="287"/>
      <c r="J22" s="288"/>
      <c r="K22" s="288"/>
      <c r="L22" s="288"/>
      <c r="M22" s="288"/>
      <c r="N22" s="288"/>
      <c r="O22" s="286"/>
      <c r="P22" s="171"/>
    </row>
    <row r="23" spans="1:16" s="169" customFormat="1" x14ac:dyDescent="0.45">
      <c r="A23" s="171"/>
      <c r="B23" s="217">
        <v>17</v>
      </c>
      <c r="C23" s="245"/>
      <c r="D23" s="246"/>
      <c r="E23" s="280" t="str">
        <f>IF(C23="","",VLOOKUP($B$3,Exchange_Rates!$A$2:$B$19,2,FALSE))</f>
        <v/>
      </c>
      <c r="F23" s="244" t="str">
        <f t="shared" si="0"/>
        <v/>
      </c>
      <c r="G23" s="288"/>
      <c r="H23" s="287"/>
      <c r="I23" s="287"/>
      <c r="J23" s="288"/>
      <c r="K23" s="288"/>
      <c r="L23" s="288"/>
      <c r="M23" s="288"/>
      <c r="N23" s="288"/>
      <c r="O23" s="286"/>
      <c r="P23" s="171"/>
    </row>
    <row r="24" spans="1:16" s="169" customFormat="1" x14ac:dyDescent="0.45">
      <c r="A24" s="171"/>
      <c r="B24" s="217">
        <v>18</v>
      </c>
      <c r="C24" s="245"/>
      <c r="D24" s="246"/>
      <c r="E24" s="280" t="str">
        <f>IF(C24="","",VLOOKUP($B$3,Exchange_Rates!$A$2:$B$19,2,FALSE))</f>
        <v/>
      </c>
      <c r="F24" s="244" t="str">
        <f t="shared" si="0"/>
        <v/>
      </c>
      <c r="G24" s="288"/>
      <c r="H24" s="285"/>
      <c r="I24" s="285"/>
      <c r="J24" s="288"/>
      <c r="K24" s="288"/>
      <c r="L24" s="288"/>
      <c r="M24" s="288"/>
      <c r="N24" s="288"/>
      <c r="O24" s="286"/>
      <c r="P24" s="171"/>
    </row>
    <row r="25" spans="1:16" s="169" customFormat="1" x14ac:dyDescent="0.45">
      <c r="A25" s="171"/>
      <c r="B25" s="217">
        <v>19</v>
      </c>
      <c r="C25" s="245"/>
      <c r="D25" s="246"/>
      <c r="E25" s="280" t="str">
        <f>IF(C25="","",VLOOKUP($B$3,Exchange_Rates!$A$2:$B$19,2,FALSE))</f>
        <v/>
      </c>
      <c r="F25" s="244" t="str">
        <f t="shared" si="0"/>
        <v/>
      </c>
      <c r="G25" s="288"/>
      <c r="H25" s="285"/>
      <c r="I25" s="285"/>
      <c r="J25" s="288"/>
      <c r="K25" s="288"/>
      <c r="L25" s="288"/>
      <c r="M25" s="288"/>
      <c r="N25" s="288"/>
      <c r="O25" s="286"/>
      <c r="P25" s="171"/>
    </row>
    <row r="26" spans="1:16" s="169" customFormat="1" ht="14.65" thickBot="1" x14ac:dyDescent="0.5">
      <c r="A26" s="171"/>
      <c r="B26" s="239">
        <v>20</v>
      </c>
      <c r="C26" s="247"/>
      <c r="D26" s="248"/>
      <c r="E26" s="281" t="str">
        <f>IF(C26="","",VLOOKUP($B$3,Exchange_Rates!$A$2:$B$19,2,FALSE))</f>
        <v/>
      </c>
      <c r="F26" s="249" t="str">
        <f>IF(C26="","",C26*E26)</f>
        <v/>
      </c>
      <c r="G26" s="284"/>
      <c r="H26" s="283"/>
      <c r="I26" s="283"/>
      <c r="J26" s="284"/>
      <c r="K26" s="284"/>
      <c r="L26" s="284"/>
      <c r="M26" s="284"/>
      <c r="N26" s="284"/>
      <c r="O26" s="282"/>
      <c r="P26" s="171"/>
    </row>
    <row r="27" spans="1:16" s="169" customFormat="1" ht="14.65" thickTop="1" x14ac:dyDescent="0.45">
      <c r="A27" s="171"/>
      <c r="B27" s="172"/>
      <c r="C27" s="221"/>
      <c r="D27" s="223"/>
      <c r="E27" s="223"/>
      <c r="F27" s="229"/>
      <c r="G27" s="241"/>
      <c r="H27" s="242"/>
      <c r="I27" s="242"/>
      <c r="J27" s="241"/>
      <c r="K27" s="241"/>
      <c r="L27" s="241"/>
      <c r="M27" s="241"/>
      <c r="N27" s="241"/>
      <c r="O27" s="241"/>
      <c r="P27" s="171"/>
    </row>
    <row r="28" spans="1:16" s="169" customFormat="1" x14ac:dyDescent="0.45">
      <c r="B28" s="170"/>
      <c r="C28" s="221"/>
      <c r="D28" s="223"/>
      <c r="E28" s="223"/>
      <c r="F28" s="224"/>
      <c r="G28" s="241"/>
      <c r="H28" s="242"/>
      <c r="I28" s="242"/>
      <c r="J28" s="241"/>
      <c r="K28" s="241"/>
      <c r="L28" s="241"/>
      <c r="M28" s="241"/>
      <c r="N28" s="241"/>
      <c r="O28" s="241"/>
    </row>
    <row r="29" spans="1:16" s="169" customFormat="1" x14ac:dyDescent="0.45">
      <c r="B29" s="170"/>
      <c r="C29" s="221"/>
      <c r="D29" s="223"/>
      <c r="E29" s="223"/>
      <c r="F29" s="207"/>
      <c r="G29" s="241"/>
      <c r="H29" s="242"/>
      <c r="I29" s="242"/>
      <c r="J29" s="241"/>
      <c r="K29" s="241"/>
      <c r="L29" s="241"/>
      <c r="M29" s="241"/>
      <c r="N29" s="241"/>
      <c r="O29" s="241"/>
    </row>
    <row r="30" spans="1:16" s="169" customFormat="1" x14ac:dyDescent="0.45">
      <c r="B30" s="170"/>
      <c r="C30" s="221"/>
      <c r="D30" s="223"/>
      <c r="E30" s="223"/>
      <c r="F30" s="207"/>
      <c r="G30" s="241"/>
      <c r="H30" s="242"/>
      <c r="I30" s="242"/>
      <c r="J30" s="241"/>
      <c r="K30" s="241"/>
      <c r="L30" s="241"/>
      <c r="M30" s="241"/>
      <c r="N30" s="241"/>
      <c r="O30" s="241"/>
    </row>
    <row r="31" spans="1:16" s="169" customFormat="1" x14ac:dyDescent="0.45">
      <c r="B31" s="170"/>
      <c r="C31" s="221"/>
      <c r="D31" s="223"/>
      <c r="E31" s="223"/>
      <c r="F31" s="207"/>
      <c r="G31" s="241"/>
      <c r="H31" s="242"/>
      <c r="I31" s="242"/>
      <c r="J31" s="241"/>
      <c r="K31" s="241"/>
      <c r="L31" s="241"/>
      <c r="M31" s="241"/>
      <c r="N31" s="241"/>
      <c r="O31" s="241"/>
    </row>
    <row r="32" spans="1:16" s="169" customFormat="1" x14ac:dyDescent="0.45">
      <c r="B32" s="170"/>
      <c r="C32" s="221"/>
      <c r="D32" s="223"/>
      <c r="E32" s="223"/>
      <c r="F32" s="207"/>
      <c r="G32" s="241"/>
      <c r="H32" s="242"/>
      <c r="I32" s="242"/>
      <c r="J32" s="241"/>
      <c r="K32" s="241"/>
      <c r="L32" s="241"/>
      <c r="M32" s="241"/>
      <c r="N32" s="241"/>
      <c r="O32" s="241"/>
    </row>
    <row r="33" spans="2:15" s="169" customFormat="1" x14ac:dyDescent="0.45">
      <c r="B33" s="170"/>
      <c r="C33" s="221"/>
      <c r="D33" s="223"/>
      <c r="E33" s="223"/>
      <c r="F33" s="207"/>
      <c r="G33" s="241"/>
      <c r="H33" s="242"/>
      <c r="I33" s="242"/>
      <c r="J33" s="241"/>
      <c r="K33" s="241"/>
      <c r="L33" s="241"/>
      <c r="M33" s="241"/>
      <c r="N33" s="241"/>
      <c r="O33" s="241"/>
    </row>
    <row r="34" spans="2:15" s="169" customFormat="1" x14ac:dyDescent="0.45">
      <c r="B34" s="170"/>
      <c r="C34" s="221"/>
      <c r="D34" s="223"/>
      <c r="E34" s="223"/>
      <c r="F34" s="207"/>
      <c r="G34" s="241"/>
      <c r="H34" s="242"/>
      <c r="I34" s="242"/>
      <c r="J34" s="241"/>
      <c r="K34" s="241"/>
      <c r="L34" s="241"/>
      <c r="M34" s="241"/>
      <c r="N34" s="241"/>
      <c r="O34" s="241"/>
    </row>
    <row r="35" spans="2:15" s="169" customFormat="1" x14ac:dyDescent="0.45">
      <c r="B35" s="170"/>
      <c r="C35" s="221"/>
      <c r="D35" s="223"/>
      <c r="E35" s="223"/>
      <c r="F35" s="207"/>
      <c r="G35" s="241"/>
      <c r="H35" s="242"/>
      <c r="I35" s="242"/>
      <c r="J35" s="241"/>
      <c r="K35" s="241"/>
      <c r="L35" s="241"/>
      <c r="M35" s="241"/>
      <c r="N35" s="241"/>
      <c r="O35" s="241"/>
    </row>
    <row r="36" spans="2:15" s="169" customFormat="1" x14ac:dyDescent="0.45">
      <c r="B36" s="170"/>
      <c r="C36" s="221"/>
      <c r="D36" s="223"/>
      <c r="E36" s="223"/>
      <c r="F36" s="207"/>
      <c r="G36" s="241"/>
      <c r="H36" s="242"/>
      <c r="I36" s="242"/>
      <c r="J36" s="241"/>
      <c r="K36" s="241"/>
      <c r="L36" s="241"/>
      <c r="M36" s="241"/>
      <c r="N36" s="241"/>
      <c r="O36" s="241"/>
    </row>
    <row r="37" spans="2:15" s="169" customFormat="1" x14ac:dyDescent="0.45">
      <c r="B37" s="170"/>
      <c r="C37" s="221"/>
      <c r="D37" s="223"/>
      <c r="E37" s="223"/>
      <c r="F37" s="207"/>
      <c r="G37" s="241"/>
      <c r="H37" s="242"/>
      <c r="I37" s="242"/>
      <c r="J37" s="241"/>
      <c r="K37" s="241"/>
      <c r="L37" s="241"/>
      <c r="M37" s="241"/>
      <c r="N37" s="241"/>
      <c r="O37" s="241"/>
    </row>
    <row r="38" spans="2:15" s="169" customFormat="1" x14ac:dyDescent="0.45">
      <c r="B38" s="170"/>
      <c r="C38" s="221"/>
      <c r="D38" s="223"/>
      <c r="E38" s="223"/>
      <c r="F38" s="207"/>
      <c r="G38" s="241"/>
      <c r="H38" s="242"/>
      <c r="I38" s="242"/>
      <c r="J38" s="241"/>
      <c r="K38" s="241"/>
      <c r="L38" s="241"/>
      <c r="M38" s="241"/>
      <c r="N38" s="241"/>
      <c r="O38" s="241"/>
    </row>
    <row r="39" spans="2:15" s="169" customFormat="1" x14ac:dyDescent="0.45">
      <c r="B39" s="170"/>
      <c r="C39" s="221"/>
      <c r="D39" s="223"/>
      <c r="E39" s="223"/>
      <c r="F39" s="207"/>
      <c r="G39" s="241"/>
      <c r="H39" s="242"/>
      <c r="I39" s="242"/>
      <c r="J39" s="241"/>
      <c r="K39" s="241"/>
      <c r="L39" s="241"/>
      <c r="M39" s="241"/>
      <c r="N39" s="241"/>
      <c r="O39" s="241"/>
    </row>
    <row r="40" spans="2:15" s="169" customFormat="1" x14ac:dyDescent="0.45">
      <c r="B40" s="170"/>
      <c r="C40" s="221"/>
      <c r="D40" s="223"/>
      <c r="E40" s="223"/>
      <c r="F40" s="207"/>
      <c r="G40" s="241"/>
      <c r="H40" s="242"/>
      <c r="I40" s="242"/>
      <c r="J40" s="241"/>
      <c r="K40" s="241"/>
      <c r="L40" s="241"/>
      <c r="M40" s="241"/>
      <c r="N40" s="241"/>
      <c r="O40" s="241"/>
    </row>
    <row r="41" spans="2:15" s="169" customFormat="1" x14ac:dyDescent="0.45">
      <c r="B41" s="170"/>
      <c r="C41" s="221"/>
      <c r="D41" s="223"/>
      <c r="E41" s="223"/>
      <c r="F41" s="207"/>
      <c r="G41" s="241"/>
      <c r="H41" s="242"/>
      <c r="I41" s="242"/>
      <c r="J41" s="241"/>
      <c r="K41" s="241"/>
      <c r="L41" s="241"/>
      <c r="M41" s="241"/>
      <c r="N41" s="241"/>
      <c r="O41" s="241"/>
    </row>
    <row r="42" spans="2:15" s="169" customFormat="1" x14ac:dyDescent="0.45">
      <c r="B42" s="170"/>
      <c r="C42" s="221"/>
      <c r="D42" s="223"/>
      <c r="E42" s="223"/>
      <c r="F42" s="207"/>
      <c r="G42" s="241"/>
      <c r="H42" s="242"/>
      <c r="I42" s="242"/>
      <c r="J42" s="241"/>
      <c r="K42" s="241"/>
      <c r="L42" s="241"/>
      <c r="M42" s="241"/>
      <c r="N42" s="241"/>
      <c r="O42" s="241"/>
    </row>
    <row r="43" spans="2:15" s="169" customFormat="1" x14ac:dyDescent="0.45">
      <c r="B43" s="170"/>
      <c r="C43" s="221"/>
      <c r="D43" s="223"/>
      <c r="E43" s="223"/>
      <c r="F43" s="207"/>
      <c r="G43" s="241"/>
      <c r="H43" s="242"/>
      <c r="I43" s="242"/>
      <c r="J43" s="241"/>
      <c r="K43" s="241"/>
      <c r="L43" s="241"/>
      <c r="M43" s="241"/>
      <c r="N43" s="241"/>
      <c r="O43" s="241"/>
    </row>
    <row r="44" spans="2:15" s="169" customFormat="1" x14ac:dyDescent="0.45">
      <c r="B44" s="170"/>
      <c r="C44" s="221"/>
      <c r="D44" s="223"/>
      <c r="E44" s="223"/>
      <c r="F44" s="207"/>
      <c r="G44" s="241"/>
      <c r="H44" s="242"/>
      <c r="I44" s="242"/>
      <c r="J44" s="241"/>
      <c r="K44" s="241"/>
      <c r="L44" s="241"/>
      <c r="M44" s="241"/>
      <c r="N44" s="241"/>
      <c r="O44" s="241"/>
    </row>
    <row r="45" spans="2:15" s="169" customFormat="1" x14ac:dyDescent="0.45">
      <c r="B45" s="170"/>
      <c r="C45" s="221"/>
      <c r="D45" s="223"/>
      <c r="E45" s="223"/>
      <c r="F45" s="207"/>
      <c r="G45" s="241"/>
      <c r="H45" s="242"/>
      <c r="I45" s="242"/>
      <c r="J45" s="241"/>
      <c r="K45" s="241"/>
      <c r="L45" s="241"/>
      <c r="M45" s="241"/>
      <c r="N45" s="241"/>
      <c r="O45" s="241"/>
    </row>
    <row r="46" spans="2:15" x14ac:dyDescent="0.45">
      <c r="C46" s="218"/>
      <c r="D46" s="223"/>
      <c r="E46" s="223"/>
      <c r="G46" s="219"/>
      <c r="H46" s="230"/>
      <c r="I46" s="230"/>
      <c r="J46" s="219"/>
      <c r="K46" s="219"/>
      <c r="L46" s="219"/>
      <c r="M46" s="219"/>
      <c r="N46" s="219"/>
      <c r="O46" s="219"/>
    </row>
    <row r="47" spans="2:15" x14ac:dyDescent="0.45">
      <c r="B47" s="167"/>
      <c r="C47" s="218"/>
      <c r="D47" s="223"/>
      <c r="E47" s="223"/>
      <c r="G47" s="219"/>
      <c r="H47" s="230"/>
      <c r="I47" s="230"/>
      <c r="J47" s="219"/>
      <c r="K47" s="219"/>
      <c r="L47" s="219"/>
      <c r="M47" s="219"/>
      <c r="N47" s="219"/>
      <c r="O47" s="219"/>
    </row>
    <row r="48" spans="2:15" x14ac:dyDescent="0.45">
      <c r="B48" s="167"/>
      <c r="C48" s="218"/>
      <c r="D48" s="223"/>
      <c r="E48" s="223"/>
      <c r="G48" s="219"/>
      <c r="H48" s="230"/>
      <c r="I48" s="230"/>
      <c r="J48" s="219"/>
      <c r="K48" s="219"/>
      <c r="L48" s="219"/>
      <c r="M48" s="219"/>
      <c r="N48" s="219"/>
      <c r="O48" s="219"/>
    </row>
    <row r="49" spans="2:15" x14ac:dyDescent="0.45">
      <c r="B49" s="167"/>
      <c r="C49" s="218"/>
      <c r="D49" s="223"/>
      <c r="E49" s="223"/>
      <c r="G49" s="219"/>
      <c r="H49" s="230"/>
      <c r="I49" s="230"/>
      <c r="J49" s="219"/>
      <c r="K49" s="219"/>
      <c r="L49" s="219"/>
      <c r="M49" s="219"/>
      <c r="N49" s="219"/>
      <c r="O49" s="219"/>
    </row>
    <row r="50" spans="2:15" x14ac:dyDescent="0.45">
      <c r="B50" s="167"/>
      <c r="C50" s="218"/>
      <c r="D50" s="223"/>
      <c r="E50" s="223"/>
      <c r="G50" s="219"/>
      <c r="H50" s="230"/>
      <c r="I50" s="230"/>
      <c r="J50" s="219"/>
      <c r="K50" s="219"/>
      <c r="L50" s="219"/>
      <c r="M50" s="219"/>
      <c r="N50" s="219"/>
      <c r="O50" s="219"/>
    </row>
    <row r="51" spans="2:15" x14ac:dyDescent="0.45">
      <c r="B51" s="167"/>
      <c r="C51" s="218"/>
      <c r="D51" s="223"/>
      <c r="E51" s="223"/>
      <c r="G51" s="219"/>
      <c r="H51" s="230"/>
      <c r="I51" s="230"/>
      <c r="J51" s="219"/>
      <c r="K51" s="219"/>
      <c r="L51" s="219"/>
      <c r="M51" s="219"/>
      <c r="N51" s="219"/>
      <c r="O51" s="219"/>
    </row>
    <row r="52" spans="2:15" x14ac:dyDescent="0.45">
      <c r="B52" s="167"/>
      <c r="C52" s="218"/>
      <c r="D52" s="223"/>
      <c r="E52" s="223"/>
      <c r="G52" s="219"/>
      <c r="H52" s="230"/>
      <c r="I52" s="230"/>
      <c r="J52" s="219"/>
      <c r="K52" s="219"/>
      <c r="L52" s="219"/>
      <c r="M52" s="219"/>
      <c r="N52" s="219"/>
      <c r="O52" s="219"/>
    </row>
    <row r="53" spans="2:15" x14ac:dyDescent="0.45">
      <c r="B53" s="167"/>
      <c r="C53" s="218"/>
      <c r="D53" s="223"/>
      <c r="E53" s="223"/>
      <c r="G53" s="219"/>
      <c r="H53" s="230"/>
      <c r="I53" s="230"/>
      <c r="J53" s="219"/>
      <c r="K53" s="219"/>
      <c r="L53" s="219"/>
      <c r="M53" s="219"/>
      <c r="N53" s="219"/>
      <c r="O53" s="219"/>
    </row>
    <row r="54" spans="2:15" x14ac:dyDescent="0.45">
      <c r="B54" s="167"/>
      <c r="C54" s="218"/>
      <c r="D54" s="223"/>
      <c r="E54" s="223"/>
      <c r="G54" s="219"/>
      <c r="H54" s="230"/>
      <c r="I54" s="230"/>
      <c r="J54" s="219"/>
      <c r="K54" s="219"/>
      <c r="L54" s="219"/>
      <c r="M54" s="219"/>
      <c r="N54" s="219"/>
      <c r="O54" s="219"/>
    </row>
    <row r="55" spans="2:15" x14ac:dyDescent="0.45">
      <c r="B55" s="167"/>
      <c r="C55" s="218"/>
      <c r="D55" s="223"/>
      <c r="E55" s="223"/>
      <c r="G55" s="219"/>
      <c r="H55" s="230"/>
      <c r="I55" s="230"/>
      <c r="J55" s="219"/>
      <c r="K55" s="219"/>
      <c r="L55" s="219"/>
      <c r="M55" s="219"/>
      <c r="N55" s="219"/>
      <c r="O55" s="219"/>
    </row>
    <row r="56" spans="2:15" x14ac:dyDescent="0.45">
      <c r="B56" s="167"/>
      <c r="C56" s="218"/>
      <c r="D56" s="223"/>
      <c r="E56" s="223"/>
      <c r="G56" s="219"/>
      <c r="H56" s="230"/>
      <c r="I56" s="230"/>
      <c r="J56" s="219"/>
      <c r="K56" s="219"/>
      <c r="L56" s="219"/>
      <c r="M56" s="219"/>
      <c r="N56" s="219"/>
      <c r="O56" s="219"/>
    </row>
    <row r="57" spans="2:15" x14ac:dyDescent="0.45">
      <c r="B57" s="167"/>
      <c r="C57" s="218"/>
      <c r="D57" s="223"/>
      <c r="E57" s="223"/>
      <c r="G57" s="219"/>
      <c r="H57" s="230"/>
      <c r="I57" s="230"/>
      <c r="J57" s="219"/>
      <c r="K57" s="219"/>
      <c r="L57" s="219"/>
      <c r="M57" s="219"/>
      <c r="N57" s="219"/>
      <c r="O57" s="219"/>
    </row>
    <row r="58" spans="2:15" x14ac:dyDescent="0.45">
      <c r="B58" s="167"/>
      <c r="C58" s="218"/>
      <c r="D58" s="223"/>
      <c r="E58" s="223"/>
      <c r="G58" s="219"/>
      <c r="H58" s="230"/>
      <c r="I58" s="230"/>
      <c r="J58" s="219"/>
      <c r="K58" s="219"/>
      <c r="L58" s="219"/>
      <c r="M58" s="219"/>
      <c r="N58" s="219"/>
      <c r="O58" s="219"/>
    </row>
    <row r="59" spans="2:15" x14ac:dyDescent="0.45">
      <c r="B59" s="167"/>
      <c r="C59" s="218"/>
      <c r="D59" s="223"/>
      <c r="E59" s="223"/>
      <c r="G59" s="219"/>
      <c r="H59" s="230"/>
      <c r="I59" s="230"/>
      <c r="J59" s="219"/>
      <c r="K59" s="219"/>
      <c r="L59" s="219"/>
      <c r="M59" s="219"/>
      <c r="N59" s="219"/>
      <c r="O59" s="219"/>
    </row>
    <row r="60" spans="2:15" x14ac:dyDescent="0.45">
      <c r="B60" s="167"/>
      <c r="C60" s="218"/>
      <c r="D60" s="223"/>
      <c r="E60" s="223"/>
      <c r="G60" s="219"/>
      <c r="H60" s="230"/>
      <c r="I60" s="230"/>
      <c r="J60" s="219"/>
      <c r="K60" s="219"/>
      <c r="L60" s="219"/>
      <c r="M60" s="219"/>
      <c r="N60" s="219"/>
      <c r="O60" s="219"/>
    </row>
    <row r="61" spans="2:15" x14ac:dyDescent="0.45">
      <c r="B61" s="167"/>
      <c r="C61" s="218"/>
      <c r="D61" s="223"/>
      <c r="E61" s="223"/>
      <c r="G61" s="219"/>
      <c r="H61" s="230"/>
      <c r="I61" s="230"/>
      <c r="J61" s="219"/>
      <c r="K61" s="219"/>
      <c r="L61" s="219"/>
      <c r="M61" s="219"/>
      <c r="N61" s="219"/>
      <c r="O61" s="219"/>
    </row>
    <row r="62" spans="2:15" x14ac:dyDescent="0.45">
      <c r="B62" s="167"/>
      <c r="C62" s="218"/>
      <c r="D62" s="223"/>
      <c r="E62" s="223"/>
      <c r="G62" s="219"/>
      <c r="H62" s="230"/>
      <c r="I62" s="230"/>
      <c r="J62" s="219"/>
      <c r="K62" s="219"/>
      <c r="L62" s="219"/>
      <c r="M62" s="219"/>
      <c r="N62" s="219"/>
      <c r="O62" s="219"/>
    </row>
    <row r="63" spans="2:15" x14ac:dyDescent="0.45">
      <c r="B63" s="167"/>
      <c r="C63" s="218"/>
      <c r="D63" s="223"/>
      <c r="E63" s="223"/>
      <c r="G63" s="219"/>
      <c r="H63" s="230"/>
      <c r="I63" s="230"/>
      <c r="J63" s="219"/>
      <c r="K63" s="219"/>
      <c r="L63" s="219"/>
      <c r="M63" s="219"/>
      <c r="N63" s="219"/>
      <c r="O63" s="219"/>
    </row>
    <row r="64" spans="2:15" x14ac:dyDescent="0.45">
      <c r="B64" s="167"/>
      <c r="C64" s="218"/>
      <c r="D64" s="223"/>
      <c r="E64" s="223"/>
      <c r="G64" s="219"/>
      <c r="H64" s="230"/>
      <c r="I64" s="230"/>
      <c r="J64" s="219"/>
      <c r="K64" s="219"/>
      <c r="L64" s="219"/>
      <c r="M64" s="219"/>
      <c r="N64" s="219"/>
      <c r="O64" s="219"/>
    </row>
    <row r="65" spans="2:15" x14ac:dyDescent="0.45">
      <c r="B65" s="167"/>
      <c r="C65" s="218"/>
      <c r="D65" s="223"/>
      <c r="E65" s="223"/>
      <c r="G65" s="219"/>
      <c r="H65" s="230"/>
      <c r="I65" s="230"/>
      <c r="J65" s="219"/>
      <c r="K65" s="219"/>
      <c r="L65" s="219"/>
      <c r="M65" s="219"/>
      <c r="N65" s="219"/>
      <c r="O65" s="219"/>
    </row>
    <row r="66" spans="2:15" x14ac:dyDescent="0.45">
      <c r="B66" s="167"/>
      <c r="C66" s="218"/>
      <c r="D66" s="223"/>
      <c r="E66" s="223"/>
      <c r="G66" s="219"/>
      <c r="H66" s="230"/>
      <c r="I66" s="230"/>
      <c r="J66" s="219"/>
      <c r="K66" s="219"/>
      <c r="L66" s="219"/>
      <c r="M66" s="219"/>
      <c r="N66" s="219"/>
      <c r="O66" s="219"/>
    </row>
    <row r="67" spans="2:15" x14ac:dyDescent="0.45">
      <c r="B67" s="167"/>
      <c r="C67" s="218"/>
      <c r="D67" s="223"/>
      <c r="E67" s="223"/>
      <c r="G67" s="219"/>
      <c r="H67" s="230"/>
      <c r="I67" s="230"/>
      <c r="J67" s="219"/>
      <c r="K67" s="219"/>
      <c r="L67" s="219"/>
      <c r="M67" s="219"/>
      <c r="N67" s="219"/>
      <c r="O67" s="219"/>
    </row>
    <row r="68" spans="2:15" x14ac:dyDescent="0.45">
      <c r="B68" s="167"/>
      <c r="C68" s="218"/>
      <c r="D68" s="223"/>
      <c r="E68" s="223"/>
      <c r="G68" s="219"/>
      <c r="H68" s="230"/>
      <c r="I68" s="230"/>
      <c r="J68" s="219"/>
      <c r="K68" s="219"/>
      <c r="L68" s="219"/>
      <c r="M68" s="219"/>
      <c r="N68" s="219"/>
      <c r="O68" s="219"/>
    </row>
    <row r="69" spans="2:15" x14ac:dyDescent="0.45">
      <c r="B69" s="167"/>
      <c r="C69" s="218"/>
      <c r="D69" s="223"/>
      <c r="E69" s="223"/>
      <c r="G69" s="219"/>
      <c r="H69" s="230"/>
      <c r="I69" s="230"/>
      <c r="J69" s="219"/>
      <c r="K69" s="219"/>
      <c r="L69" s="219"/>
      <c r="M69" s="219"/>
      <c r="N69" s="219"/>
      <c r="O69" s="219"/>
    </row>
    <row r="70" spans="2:15" x14ac:dyDescent="0.45">
      <c r="B70" s="167"/>
      <c r="C70" s="218"/>
      <c r="D70" s="223"/>
      <c r="E70" s="223"/>
      <c r="G70" s="219"/>
      <c r="H70" s="230"/>
      <c r="I70" s="230"/>
      <c r="J70" s="219"/>
      <c r="K70" s="219"/>
      <c r="L70" s="219"/>
      <c r="M70" s="219"/>
      <c r="N70" s="219"/>
      <c r="O70" s="219"/>
    </row>
    <row r="71" spans="2:15" x14ac:dyDescent="0.45">
      <c r="B71" s="167"/>
      <c r="C71" s="218"/>
      <c r="D71" s="223"/>
      <c r="E71" s="223"/>
      <c r="G71" s="219"/>
      <c r="H71" s="230"/>
      <c r="I71" s="230"/>
      <c r="J71" s="219"/>
      <c r="K71" s="219"/>
      <c r="L71" s="219"/>
      <c r="M71" s="219"/>
      <c r="N71" s="219"/>
      <c r="O71" s="219"/>
    </row>
    <row r="72" spans="2:15" x14ac:dyDescent="0.45">
      <c r="B72" s="167"/>
      <c r="C72" s="218"/>
      <c r="D72" s="223"/>
      <c r="E72" s="223"/>
      <c r="G72" s="219"/>
      <c r="H72" s="230"/>
      <c r="I72" s="230"/>
      <c r="J72" s="219"/>
      <c r="K72" s="219"/>
      <c r="L72" s="219"/>
      <c r="M72" s="219"/>
      <c r="N72" s="219"/>
      <c r="O72" s="219"/>
    </row>
    <row r="73" spans="2:15" x14ac:dyDescent="0.45">
      <c r="B73" s="167"/>
      <c r="C73" s="218"/>
      <c r="D73" s="223"/>
      <c r="E73" s="223"/>
      <c r="G73" s="219"/>
      <c r="H73" s="230"/>
      <c r="I73" s="230"/>
      <c r="J73" s="219"/>
      <c r="K73" s="219"/>
      <c r="L73" s="219"/>
      <c r="M73" s="219"/>
      <c r="N73" s="219"/>
      <c r="O73" s="219"/>
    </row>
    <row r="74" spans="2:15" x14ac:dyDescent="0.45">
      <c r="B74" s="167"/>
      <c r="C74" s="218"/>
      <c r="D74" s="223"/>
      <c r="E74" s="223"/>
      <c r="G74" s="219"/>
      <c r="H74" s="230"/>
      <c r="I74" s="230"/>
      <c r="J74" s="219"/>
      <c r="K74" s="219"/>
      <c r="L74" s="219"/>
      <c r="M74" s="219"/>
      <c r="N74" s="219"/>
      <c r="O74" s="219"/>
    </row>
    <row r="75" spans="2:15" x14ac:dyDescent="0.45">
      <c r="B75" s="167"/>
      <c r="C75" s="218"/>
      <c r="D75" s="223"/>
      <c r="E75" s="223"/>
      <c r="G75" s="219"/>
      <c r="H75" s="230"/>
      <c r="I75" s="230"/>
      <c r="J75" s="219"/>
      <c r="K75" s="219"/>
      <c r="L75" s="219"/>
      <c r="M75" s="219"/>
      <c r="N75" s="219"/>
      <c r="O75" s="219"/>
    </row>
    <row r="76" spans="2:15" x14ac:dyDescent="0.45">
      <c r="B76" s="167"/>
      <c r="C76" s="218"/>
      <c r="D76" s="223"/>
      <c r="E76" s="223"/>
      <c r="G76" s="219"/>
      <c r="H76" s="230"/>
      <c r="I76" s="230"/>
      <c r="J76" s="219"/>
      <c r="K76" s="219"/>
      <c r="L76" s="219"/>
      <c r="M76" s="219"/>
      <c r="N76" s="219"/>
      <c r="O76" s="219"/>
    </row>
    <row r="77" spans="2:15" x14ac:dyDescent="0.45">
      <c r="B77" s="167"/>
      <c r="C77" s="218"/>
      <c r="D77" s="223"/>
      <c r="E77" s="223"/>
      <c r="G77" s="219"/>
      <c r="H77" s="230"/>
      <c r="I77" s="230"/>
      <c r="J77" s="219"/>
      <c r="K77" s="219"/>
      <c r="L77" s="219"/>
      <c r="M77" s="219"/>
      <c r="N77" s="219"/>
      <c r="O77" s="219"/>
    </row>
    <row r="78" spans="2:15" x14ac:dyDescent="0.45">
      <c r="B78" s="167"/>
      <c r="C78" s="218"/>
      <c r="D78" s="223"/>
      <c r="E78" s="223"/>
      <c r="G78" s="219"/>
      <c r="H78" s="230"/>
      <c r="I78" s="230"/>
      <c r="J78" s="219"/>
      <c r="K78" s="219"/>
      <c r="L78" s="219"/>
      <c r="M78" s="219"/>
      <c r="N78" s="219"/>
      <c r="O78" s="219"/>
    </row>
    <row r="79" spans="2:15" x14ac:dyDescent="0.45">
      <c r="B79" s="167"/>
      <c r="C79" s="218"/>
      <c r="D79" s="223"/>
      <c r="E79" s="223"/>
      <c r="G79" s="219"/>
      <c r="H79" s="230"/>
      <c r="I79" s="230"/>
      <c r="J79" s="219"/>
      <c r="K79" s="219"/>
      <c r="L79" s="219"/>
      <c r="M79" s="219"/>
      <c r="N79" s="219"/>
      <c r="O79" s="219"/>
    </row>
    <row r="80" spans="2:15" x14ac:dyDescent="0.45">
      <c r="B80" s="167"/>
      <c r="C80" s="218"/>
      <c r="D80" s="223"/>
      <c r="E80" s="223"/>
      <c r="G80" s="219"/>
      <c r="H80" s="230"/>
      <c r="I80" s="230"/>
      <c r="J80" s="219"/>
      <c r="K80" s="219"/>
      <c r="L80" s="219"/>
      <c r="M80" s="219"/>
      <c r="N80" s="219"/>
      <c r="O80" s="219"/>
    </row>
    <row r="81" spans="2:15" x14ac:dyDescent="0.45">
      <c r="B81" s="167"/>
      <c r="C81" s="218"/>
      <c r="D81" s="223"/>
      <c r="E81" s="223"/>
      <c r="G81" s="219"/>
      <c r="H81" s="230"/>
      <c r="I81" s="230"/>
      <c r="J81" s="219"/>
      <c r="K81" s="219"/>
      <c r="L81" s="219"/>
      <c r="M81" s="219"/>
      <c r="N81" s="219"/>
      <c r="O81" s="219"/>
    </row>
    <row r="82" spans="2:15" x14ac:dyDescent="0.45">
      <c r="B82" s="167"/>
      <c r="C82" s="218"/>
      <c r="D82" s="223"/>
      <c r="E82" s="223"/>
      <c r="G82" s="219"/>
      <c r="H82" s="230"/>
      <c r="I82" s="230"/>
      <c r="J82" s="219"/>
      <c r="K82" s="219"/>
      <c r="L82" s="219"/>
      <c r="M82" s="219"/>
      <c r="N82" s="219"/>
      <c r="O82" s="219"/>
    </row>
    <row r="83" spans="2:15" x14ac:dyDescent="0.45">
      <c r="B83" s="167"/>
      <c r="C83" s="218"/>
      <c r="D83" s="223"/>
      <c r="E83" s="223"/>
      <c r="G83" s="219"/>
      <c r="H83" s="230"/>
      <c r="I83" s="230"/>
      <c r="J83" s="219"/>
      <c r="K83" s="219"/>
      <c r="L83" s="219"/>
      <c r="M83" s="219"/>
      <c r="N83" s="219"/>
      <c r="O83" s="219"/>
    </row>
    <row r="84" spans="2:15" x14ac:dyDescent="0.45">
      <c r="B84" s="167"/>
      <c r="C84" s="218"/>
      <c r="D84" s="223"/>
      <c r="E84" s="223"/>
      <c r="G84" s="219"/>
      <c r="H84" s="230"/>
      <c r="I84" s="230"/>
      <c r="J84" s="219"/>
      <c r="K84" s="219"/>
      <c r="L84" s="219"/>
      <c r="M84" s="219"/>
      <c r="N84" s="219"/>
      <c r="O84" s="219"/>
    </row>
    <row r="85" spans="2:15" x14ac:dyDescent="0.45">
      <c r="B85" s="167"/>
      <c r="C85" s="218"/>
      <c r="D85" s="223"/>
      <c r="E85" s="223"/>
      <c r="G85" s="219"/>
      <c r="H85" s="230"/>
      <c r="I85" s="230"/>
      <c r="J85" s="219"/>
      <c r="K85" s="219"/>
      <c r="L85" s="219"/>
      <c r="M85" s="219"/>
      <c r="N85" s="219"/>
      <c r="O85" s="219"/>
    </row>
    <row r="86" spans="2:15" x14ac:dyDescent="0.45">
      <c r="B86" s="167"/>
      <c r="C86" s="218"/>
      <c r="D86" s="223"/>
      <c r="E86" s="223"/>
      <c r="G86" s="219"/>
      <c r="H86" s="230"/>
      <c r="I86" s="230"/>
      <c r="J86" s="219"/>
      <c r="K86" s="219"/>
      <c r="L86" s="219"/>
      <c r="M86" s="219"/>
      <c r="N86" s="219"/>
      <c r="O86" s="219"/>
    </row>
    <row r="87" spans="2:15" x14ac:dyDescent="0.45">
      <c r="B87" s="167"/>
      <c r="C87" s="218"/>
      <c r="D87" s="223"/>
      <c r="E87" s="223"/>
      <c r="G87" s="219"/>
      <c r="H87" s="230"/>
      <c r="I87" s="230"/>
      <c r="J87" s="219"/>
      <c r="K87" s="219"/>
      <c r="L87" s="219"/>
      <c r="M87" s="219"/>
      <c r="N87" s="219"/>
      <c r="O87" s="219"/>
    </row>
    <row r="88" spans="2:15" x14ac:dyDescent="0.45">
      <c r="B88" s="167"/>
      <c r="C88" s="218"/>
      <c r="D88" s="223"/>
      <c r="E88" s="223"/>
      <c r="G88" s="219"/>
      <c r="H88" s="230"/>
      <c r="I88" s="230"/>
      <c r="J88" s="219"/>
      <c r="K88" s="219"/>
      <c r="L88" s="219"/>
      <c r="M88" s="219"/>
      <c r="N88" s="219"/>
      <c r="O88" s="219"/>
    </row>
    <row r="89" spans="2:15" x14ac:dyDescent="0.45">
      <c r="B89" s="167"/>
      <c r="C89" s="218"/>
      <c r="D89" s="223"/>
      <c r="E89" s="223"/>
      <c r="G89" s="219"/>
      <c r="H89" s="230"/>
      <c r="I89" s="230"/>
      <c r="J89" s="219"/>
      <c r="K89" s="219"/>
      <c r="L89" s="219"/>
      <c r="M89" s="219"/>
      <c r="N89" s="219"/>
      <c r="O89" s="219"/>
    </row>
    <row r="90" spans="2:15" x14ac:dyDescent="0.45">
      <c r="B90" s="167"/>
      <c r="C90" s="218"/>
      <c r="D90" s="223"/>
      <c r="E90" s="223"/>
      <c r="G90" s="219"/>
      <c r="H90" s="230"/>
      <c r="I90" s="230"/>
      <c r="J90" s="219"/>
      <c r="K90" s="219"/>
      <c r="L90" s="219"/>
      <c r="M90" s="219"/>
      <c r="N90" s="219"/>
      <c r="O90" s="219"/>
    </row>
    <row r="91" spans="2:15" x14ac:dyDescent="0.45">
      <c r="B91" s="167"/>
      <c r="C91" s="218"/>
      <c r="D91" s="223"/>
      <c r="E91" s="223"/>
      <c r="G91" s="219"/>
      <c r="H91" s="230"/>
      <c r="I91" s="230"/>
      <c r="J91" s="219"/>
      <c r="K91" s="219"/>
      <c r="L91" s="219"/>
      <c r="M91" s="219"/>
      <c r="N91" s="219"/>
      <c r="O91" s="219"/>
    </row>
    <row r="92" spans="2:15" x14ac:dyDescent="0.45">
      <c r="B92" s="167"/>
      <c r="C92" s="218"/>
      <c r="D92" s="223"/>
      <c r="E92" s="223"/>
      <c r="G92" s="219"/>
      <c r="H92" s="230"/>
      <c r="I92" s="230"/>
      <c r="J92" s="219"/>
      <c r="K92" s="219"/>
      <c r="L92" s="219"/>
      <c r="M92" s="219"/>
      <c r="N92" s="219"/>
      <c r="O92" s="219"/>
    </row>
    <row r="93" spans="2:15" x14ac:dyDescent="0.45">
      <c r="B93" s="167"/>
      <c r="C93" s="218"/>
      <c r="D93" s="223"/>
      <c r="E93" s="223"/>
      <c r="G93" s="219"/>
      <c r="H93" s="230"/>
      <c r="I93" s="230"/>
      <c r="J93" s="219"/>
      <c r="K93" s="219"/>
      <c r="L93" s="219"/>
      <c r="M93" s="219"/>
      <c r="N93" s="219"/>
      <c r="O93" s="219"/>
    </row>
    <row r="94" spans="2:15" x14ac:dyDescent="0.45">
      <c r="B94" s="167"/>
      <c r="C94" s="218"/>
      <c r="D94" s="223"/>
      <c r="E94" s="223"/>
      <c r="G94" s="219"/>
      <c r="H94" s="230"/>
      <c r="I94" s="230"/>
      <c r="J94" s="219"/>
      <c r="K94" s="219"/>
      <c r="L94" s="219"/>
      <c r="M94" s="219"/>
      <c r="N94" s="219"/>
      <c r="O94" s="219"/>
    </row>
    <row r="95" spans="2:15" x14ac:dyDescent="0.45">
      <c r="B95" s="167"/>
      <c r="C95" s="218"/>
      <c r="D95" s="223"/>
      <c r="E95" s="223"/>
      <c r="G95" s="219"/>
      <c r="H95" s="230"/>
      <c r="I95" s="230"/>
      <c r="J95" s="219"/>
      <c r="K95" s="219"/>
      <c r="L95" s="219"/>
      <c r="M95" s="219"/>
      <c r="N95" s="219"/>
      <c r="O95" s="219"/>
    </row>
    <row r="96" spans="2:15" x14ac:dyDescent="0.45">
      <c r="B96" s="167"/>
      <c r="C96" s="218"/>
      <c r="D96" s="223"/>
      <c r="E96" s="223"/>
      <c r="G96" s="219"/>
      <c r="H96" s="230"/>
      <c r="I96" s="230"/>
      <c r="J96" s="219"/>
      <c r="K96" s="219"/>
      <c r="L96" s="219"/>
      <c r="M96" s="219"/>
      <c r="N96" s="219"/>
      <c r="O96" s="219"/>
    </row>
    <row r="97" spans="2:15" x14ac:dyDescent="0.45">
      <c r="B97" s="167"/>
      <c r="C97" s="218"/>
      <c r="D97" s="223"/>
      <c r="E97" s="223"/>
      <c r="G97" s="219"/>
      <c r="H97" s="230"/>
      <c r="I97" s="230"/>
      <c r="J97" s="219"/>
      <c r="K97" s="219"/>
      <c r="L97" s="219"/>
      <c r="M97" s="219"/>
      <c r="N97" s="219"/>
      <c r="O97" s="219"/>
    </row>
    <row r="98" spans="2:15" x14ac:dyDescent="0.45">
      <c r="B98" s="167"/>
      <c r="C98" s="218"/>
      <c r="D98" s="223"/>
      <c r="E98" s="223"/>
      <c r="G98" s="219"/>
      <c r="H98" s="230"/>
      <c r="I98" s="230"/>
      <c r="J98" s="219"/>
      <c r="K98" s="219"/>
      <c r="L98" s="219"/>
      <c r="M98" s="219"/>
      <c r="N98" s="219"/>
      <c r="O98" s="219"/>
    </row>
    <row r="99" spans="2:15" x14ac:dyDescent="0.45">
      <c r="B99" s="167"/>
      <c r="C99" s="218"/>
      <c r="D99" s="223"/>
      <c r="E99" s="223"/>
      <c r="G99" s="219"/>
      <c r="H99" s="230"/>
      <c r="I99" s="230"/>
      <c r="J99" s="219"/>
      <c r="K99" s="219"/>
      <c r="L99" s="219"/>
      <c r="M99" s="219"/>
      <c r="N99" s="219"/>
      <c r="O99" s="219"/>
    </row>
    <row r="100" spans="2:15" x14ac:dyDescent="0.45">
      <c r="B100" s="167"/>
      <c r="C100" s="218"/>
      <c r="D100" s="223"/>
      <c r="E100" s="223"/>
      <c r="G100" s="219"/>
      <c r="H100" s="230"/>
      <c r="I100" s="230"/>
      <c r="J100" s="219"/>
      <c r="K100" s="219"/>
      <c r="L100" s="219"/>
      <c r="M100" s="219"/>
      <c r="N100" s="219"/>
      <c r="O100" s="219"/>
    </row>
    <row r="101" spans="2:15" x14ac:dyDescent="0.45">
      <c r="B101" s="167"/>
      <c r="C101" s="218"/>
      <c r="D101" s="223"/>
      <c r="E101" s="223"/>
      <c r="G101" s="219"/>
      <c r="H101" s="230"/>
      <c r="I101" s="230"/>
      <c r="J101" s="219"/>
      <c r="K101" s="219"/>
      <c r="L101" s="219"/>
      <c r="M101" s="219"/>
      <c r="N101" s="219"/>
      <c r="O101" s="219"/>
    </row>
    <row r="102" spans="2:15" x14ac:dyDescent="0.45">
      <c r="B102" s="167"/>
      <c r="C102" s="218"/>
      <c r="D102" s="223"/>
      <c r="E102" s="223"/>
      <c r="G102" s="219"/>
      <c r="H102" s="230"/>
      <c r="I102" s="230"/>
      <c r="J102" s="219"/>
      <c r="K102" s="219"/>
      <c r="L102" s="219"/>
      <c r="M102" s="219"/>
      <c r="N102" s="219"/>
      <c r="O102" s="219"/>
    </row>
    <row r="103" spans="2:15" x14ac:dyDescent="0.45">
      <c r="B103" s="167"/>
      <c r="C103" s="218"/>
      <c r="D103" s="223"/>
      <c r="E103" s="223"/>
      <c r="G103" s="219"/>
      <c r="H103" s="230"/>
      <c r="I103" s="230"/>
      <c r="J103" s="219"/>
      <c r="K103" s="219"/>
      <c r="L103" s="219"/>
      <c r="M103" s="219"/>
      <c r="N103" s="219"/>
      <c r="O103" s="219"/>
    </row>
    <row r="104" spans="2:15" x14ac:dyDescent="0.45">
      <c r="B104" s="167"/>
      <c r="C104" s="218"/>
      <c r="D104" s="223"/>
      <c r="E104" s="223"/>
      <c r="G104" s="219"/>
      <c r="H104" s="230"/>
      <c r="I104" s="230"/>
      <c r="J104" s="219"/>
      <c r="K104" s="219"/>
      <c r="L104" s="219"/>
      <c r="M104" s="219"/>
      <c r="N104" s="219"/>
      <c r="O104" s="219"/>
    </row>
    <row r="105" spans="2:15" x14ac:dyDescent="0.45">
      <c r="B105" s="167"/>
      <c r="C105" s="218"/>
      <c r="D105" s="223"/>
      <c r="E105" s="223"/>
      <c r="G105" s="219"/>
      <c r="H105" s="230"/>
      <c r="I105" s="230"/>
      <c r="J105" s="219"/>
      <c r="K105" s="219"/>
      <c r="L105" s="219"/>
      <c r="M105" s="219"/>
      <c r="N105" s="219"/>
      <c r="O105" s="219"/>
    </row>
    <row r="106" spans="2:15" x14ac:dyDescent="0.45">
      <c r="B106" s="167"/>
      <c r="C106" s="218"/>
      <c r="D106" s="223"/>
      <c r="E106" s="223"/>
      <c r="G106" s="219"/>
      <c r="H106" s="230"/>
      <c r="I106" s="230"/>
      <c r="J106" s="219"/>
      <c r="K106" s="219"/>
      <c r="L106" s="219"/>
      <c r="M106" s="219"/>
      <c r="N106" s="219"/>
      <c r="O106" s="219"/>
    </row>
    <row r="107" spans="2:15" x14ac:dyDescent="0.45">
      <c r="B107" s="167"/>
      <c r="C107" s="218"/>
      <c r="D107" s="223"/>
      <c r="E107" s="223"/>
      <c r="G107" s="219"/>
      <c r="H107" s="230"/>
      <c r="I107" s="230"/>
      <c r="J107" s="219"/>
      <c r="K107" s="219"/>
      <c r="L107" s="219"/>
      <c r="M107" s="219"/>
      <c r="N107" s="219"/>
      <c r="O107" s="219"/>
    </row>
    <row r="108" spans="2:15" x14ac:dyDescent="0.45">
      <c r="B108" s="167"/>
      <c r="C108" s="218"/>
      <c r="D108" s="223"/>
      <c r="E108" s="223"/>
      <c r="G108" s="219"/>
      <c r="H108" s="230"/>
      <c r="I108" s="230"/>
      <c r="J108" s="219"/>
      <c r="K108" s="219"/>
      <c r="L108" s="219"/>
      <c r="M108" s="219"/>
      <c r="N108" s="219"/>
      <c r="O108" s="219"/>
    </row>
    <row r="109" spans="2:15" x14ac:dyDescent="0.45">
      <c r="B109" s="167"/>
      <c r="C109" s="218"/>
      <c r="D109" s="223"/>
      <c r="E109" s="223"/>
      <c r="G109" s="219"/>
      <c r="H109" s="230"/>
      <c r="I109" s="230"/>
      <c r="J109" s="219"/>
      <c r="K109" s="219"/>
      <c r="L109" s="219"/>
      <c r="M109" s="219"/>
      <c r="N109" s="219"/>
      <c r="O109" s="219"/>
    </row>
    <row r="110" spans="2:15" x14ac:dyDescent="0.45">
      <c r="B110" s="167"/>
      <c r="C110" s="218"/>
      <c r="D110" s="223"/>
      <c r="E110" s="223"/>
      <c r="G110" s="219"/>
      <c r="H110" s="230"/>
      <c r="I110" s="230"/>
      <c r="J110" s="219"/>
      <c r="K110" s="219"/>
      <c r="L110" s="219"/>
      <c r="M110" s="219"/>
      <c r="N110" s="219"/>
      <c r="O110" s="219"/>
    </row>
    <row r="111" spans="2:15" x14ac:dyDescent="0.45">
      <c r="B111" s="167"/>
      <c r="C111" s="218"/>
      <c r="D111" s="223"/>
      <c r="E111" s="223"/>
      <c r="G111" s="219"/>
      <c r="H111" s="230"/>
      <c r="I111" s="230"/>
      <c r="J111" s="219"/>
      <c r="K111" s="219"/>
      <c r="L111" s="219"/>
      <c r="M111" s="219"/>
      <c r="N111" s="219"/>
      <c r="O111" s="219"/>
    </row>
    <row r="112" spans="2:15" x14ac:dyDescent="0.45">
      <c r="B112" s="167"/>
      <c r="C112" s="218"/>
      <c r="D112" s="223"/>
      <c r="E112" s="223"/>
      <c r="G112" s="219"/>
      <c r="H112" s="230"/>
      <c r="I112" s="230"/>
      <c r="J112" s="219"/>
      <c r="K112" s="219"/>
      <c r="L112" s="219"/>
      <c r="M112" s="219"/>
      <c r="N112" s="219"/>
      <c r="O112" s="219"/>
    </row>
    <row r="113" spans="2:15" x14ac:dyDescent="0.45">
      <c r="B113" s="167"/>
      <c r="C113" s="218"/>
      <c r="D113" s="223"/>
      <c r="E113" s="223"/>
      <c r="G113" s="219"/>
      <c r="H113" s="230"/>
      <c r="I113" s="230"/>
      <c r="J113" s="219"/>
      <c r="K113" s="219"/>
      <c r="L113" s="219"/>
      <c r="M113" s="219"/>
      <c r="N113" s="219"/>
      <c r="O113" s="219"/>
    </row>
    <row r="114" spans="2:15" x14ac:dyDescent="0.45">
      <c r="B114" s="167"/>
      <c r="C114" s="218"/>
      <c r="D114" s="223"/>
      <c r="E114" s="223"/>
      <c r="G114" s="219"/>
      <c r="H114" s="230"/>
      <c r="I114" s="230"/>
      <c r="J114" s="219"/>
      <c r="K114" s="219"/>
      <c r="L114" s="219"/>
      <c r="M114" s="219"/>
      <c r="N114" s="219"/>
      <c r="O114" s="219"/>
    </row>
    <row r="115" spans="2:15" x14ac:dyDescent="0.45">
      <c r="B115" s="167"/>
      <c r="C115" s="218"/>
      <c r="D115" s="223"/>
      <c r="E115" s="223"/>
      <c r="G115" s="219"/>
      <c r="H115" s="230"/>
      <c r="I115" s="230"/>
      <c r="J115" s="219"/>
      <c r="K115" s="219"/>
      <c r="L115" s="219"/>
      <c r="M115" s="219"/>
      <c r="N115" s="219"/>
      <c r="O115" s="219"/>
    </row>
    <row r="116" spans="2:15" x14ac:dyDescent="0.45">
      <c r="B116" s="167"/>
      <c r="C116" s="218"/>
      <c r="D116" s="223"/>
      <c r="E116" s="223"/>
      <c r="G116" s="219"/>
      <c r="H116" s="230"/>
      <c r="I116" s="230"/>
      <c r="J116" s="219"/>
      <c r="K116" s="219"/>
      <c r="L116" s="219"/>
      <c r="M116" s="219"/>
      <c r="N116" s="219"/>
      <c r="O116" s="219"/>
    </row>
    <row r="117" spans="2:15" x14ac:dyDescent="0.45">
      <c r="B117" s="167"/>
      <c r="C117" s="218"/>
      <c r="D117" s="223"/>
      <c r="E117" s="223"/>
      <c r="G117" s="219"/>
      <c r="H117" s="230"/>
      <c r="I117" s="230"/>
      <c r="J117" s="219"/>
      <c r="K117" s="219"/>
      <c r="L117" s="219"/>
      <c r="M117" s="219"/>
      <c r="N117" s="219"/>
      <c r="O117" s="219"/>
    </row>
    <row r="118" spans="2:15" x14ac:dyDescent="0.45">
      <c r="B118" s="167"/>
      <c r="C118" s="218"/>
      <c r="D118" s="223"/>
      <c r="E118" s="223"/>
      <c r="G118" s="219"/>
      <c r="H118" s="230"/>
      <c r="I118" s="230"/>
      <c r="J118" s="219"/>
      <c r="K118" s="219"/>
      <c r="L118" s="219"/>
      <c r="M118" s="219"/>
      <c r="N118" s="219"/>
      <c r="O118" s="219"/>
    </row>
    <row r="119" spans="2:15" x14ac:dyDescent="0.45">
      <c r="B119" s="167"/>
      <c r="C119" s="218"/>
      <c r="D119" s="223"/>
      <c r="E119" s="223"/>
      <c r="G119" s="219"/>
      <c r="H119" s="230"/>
      <c r="I119" s="230"/>
      <c r="J119" s="219"/>
      <c r="K119" s="219"/>
      <c r="L119" s="219"/>
      <c r="M119" s="219"/>
      <c r="N119" s="219"/>
      <c r="O119" s="219"/>
    </row>
    <row r="120" spans="2:15" x14ac:dyDescent="0.45">
      <c r="B120" s="167"/>
      <c r="C120" s="218"/>
      <c r="D120" s="223"/>
      <c r="E120" s="223"/>
      <c r="G120" s="219"/>
      <c r="H120" s="230"/>
      <c r="I120" s="230"/>
      <c r="J120" s="219"/>
      <c r="K120" s="219"/>
      <c r="L120" s="219"/>
      <c r="M120" s="219"/>
      <c r="N120" s="219"/>
      <c r="O120" s="219"/>
    </row>
    <row r="121" spans="2:15" x14ac:dyDescent="0.45">
      <c r="B121" s="167"/>
      <c r="C121" s="218"/>
      <c r="D121" s="223"/>
      <c r="E121" s="223"/>
      <c r="G121" s="219"/>
      <c r="H121" s="230"/>
      <c r="I121" s="230"/>
      <c r="J121" s="219"/>
      <c r="K121" s="219"/>
      <c r="L121" s="219"/>
      <c r="M121" s="219"/>
      <c r="N121" s="219"/>
      <c r="O121" s="219"/>
    </row>
    <row r="122" spans="2:15" x14ac:dyDescent="0.45">
      <c r="B122" s="167"/>
      <c r="C122" s="218"/>
      <c r="D122" s="223"/>
      <c r="E122" s="223"/>
      <c r="G122" s="219"/>
      <c r="H122" s="230"/>
      <c r="I122" s="230"/>
      <c r="J122" s="219"/>
      <c r="K122" s="219"/>
      <c r="L122" s="219"/>
      <c r="M122" s="219"/>
      <c r="N122" s="219"/>
      <c r="O122" s="219"/>
    </row>
    <row r="123" spans="2:15" x14ac:dyDescent="0.45">
      <c r="B123" s="167"/>
      <c r="C123" s="218"/>
      <c r="D123" s="223"/>
      <c r="E123" s="223"/>
      <c r="G123" s="219"/>
      <c r="H123" s="230"/>
      <c r="I123" s="230"/>
      <c r="J123" s="219"/>
      <c r="K123" s="219"/>
      <c r="L123" s="219"/>
      <c r="M123" s="219"/>
      <c r="N123" s="219"/>
      <c r="O123" s="219"/>
    </row>
    <row r="124" spans="2:15" x14ac:dyDescent="0.45">
      <c r="B124" s="167"/>
      <c r="C124" s="218"/>
      <c r="D124" s="223"/>
      <c r="E124" s="223"/>
      <c r="G124" s="219"/>
      <c r="H124" s="230"/>
      <c r="I124" s="230"/>
      <c r="J124" s="219"/>
      <c r="K124" s="219"/>
      <c r="L124" s="219"/>
      <c r="M124" s="219"/>
      <c r="N124" s="219"/>
      <c r="O124" s="219"/>
    </row>
    <row r="125" spans="2:15" x14ac:dyDescent="0.45">
      <c r="B125" s="167"/>
      <c r="C125" s="218"/>
      <c r="D125" s="223"/>
      <c r="E125" s="223"/>
      <c r="G125" s="219"/>
      <c r="H125" s="230"/>
      <c r="I125" s="230"/>
      <c r="J125" s="219"/>
      <c r="K125" s="219"/>
      <c r="L125" s="219"/>
      <c r="M125" s="219"/>
      <c r="N125" s="219"/>
      <c r="O125" s="219"/>
    </row>
    <row r="126" spans="2:15" x14ac:dyDescent="0.45">
      <c r="B126" s="167"/>
      <c r="C126" s="218"/>
      <c r="D126" s="223"/>
      <c r="E126" s="223"/>
      <c r="G126" s="219"/>
      <c r="H126" s="230"/>
      <c r="I126" s="230"/>
      <c r="J126" s="219"/>
      <c r="K126" s="219"/>
      <c r="L126" s="219"/>
      <c r="M126" s="219"/>
      <c r="N126" s="219"/>
      <c r="O126" s="219"/>
    </row>
    <row r="127" spans="2:15" x14ac:dyDescent="0.45">
      <c r="B127" s="167"/>
      <c r="C127" s="218"/>
      <c r="D127" s="223"/>
      <c r="E127" s="223"/>
      <c r="G127" s="219"/>
      <c r="H127" s="230"/>
      <c r="I127" s="230"/>
      <c r="J127" s="219"/>
      <c r="K127" s="219"/>
      <c r="L127" s="219"/>
      <c r="M127" s="219"/>
      <c r="N127" s="219"/>
      <c r="O127" s="219"/>
    </row>
    <row r="128" spans="2:15" x14ac:dyDescent="0.45">
      <c r="B128" s="167"/>
      <c r="C128" s="218"/>
      <c r="D128" s="223"/>
      <c r="E128" s="223"/>
      <c r="G128" s="219"/>
      <c r="H128" s="230"/>
      <c r="I128" s="230"/>
      <c r="J128" s="219"/>
      <c r="K128" s="219"/>
      <c r="L128" s="219"/>
      <c r="M128" s="219"/>
      <c r="N128" s="219"/>
      <c r="O128" s="219"/>
    </row>
    <row r="129" spans="2:15" x14ac:dyDescent="0.45">
      <c r="B129" s="167"/>
      <c r="C129" s="218"/>
      <c r="D129" s="223"/>
      <c r="E129" s="223"/>
      <c r="G129" s="219"/>
      <c r="H129" s="230"/>
      <c r="I129" s="230"/>
      <c r="J129" s="219"/>
      <c r="K129" s="219"/>
      <c r="L129" s="219"/>
      <c r="M129" s="219"/>
      <c r="N129" s="219"/>
      <c r="O129" s="219"/>
    </row>
    <row r="130" spans="2:15" x14ac:dyDescent="0.45">
      <c r="B130" s="167"/>
      <c r="C130" s="218"/>
      <c r="D130" s="223"/>
      <c r="E130" s="223"/>
      <c r="G130" s="219"/>
      <c r="H130" s="230"/>
      <c r="I130" s="230"/>
      <c r="J130" s="219"/>
      <c r="K130" s="219"/>
      <c r="L130" s="219"/>
      <c r="M130" s="219"/>
      <c r="N130" s="219"/>
      <c r="O130" s="219"/>
    </row>
    <row r="131" spans="2:15" x14ac:dyDescent="0.45">
      <c r="B131" s="167"/>
      <c r="C131" s="218"/>
      <c r="D131" s="223"/>
      <c r="E131" s="223"/>
      <c r="G131" s="219"/>
      <c r="H131" s="230"/>
      <c r="I131" s="230"/>
      <c r="J131" s="219"/>
      <c r="K131" s="219"/>
      <c r="L131" s="219"/>
      <c r="M131" s="219"/>
      <c r="N131" s="219"/>
      <c r="O131" s="219"/>
    </row>
    <row r="132" spans="2:15" x14ac:dyDescent="0.45">
      <c r="B132" s="167"/>
      <c r="C132" s="218"/>
      <c r="D132" s="223"/>
      <c r="E132" s="223"/>
      <c r="G132" s="219"/>
      <c r="H132" s="230"/>
      <c r="I132" s="230"/>
      <c r="J132" s="219"/>
      <c r="K132" s="219"/>
      <c r="L132" s="219"/>
      <c r="M132" s="219"/>
      <c r="N132" s="219"/>
      <c r="O132" s="219"/>
    </row>
    <row r="133" spans="2:15" x14ac:dyDescent="0.45">
      <c r="B133" s="167"/>
      <c r="C133" s="218"/>
      <c r="D133" s="223"/>
      <c r="E133" s="223"/>
      <c r="G133" s="219"/>
      <c r="H133" s="230"/>
      <c r="I133" s="230"/>
      <c r="J133" s="219"/>
      <c r="K133" s="219"/>
      <c r="L133" s="219"/>
      <c r="M133" s="219"/>
      <c r="N133" s="219"/>
      <c r="O133" s="219"/>
    </row>
    <row r="134" spans="2:15" x14ac:dyDescent="0.45">
      <c r="B134" s="167"/>
      <c r="C134" s="218"/>
      <c r="D134" s="223"/>
      <c r="E134" s="223"/>
      <c r="G134" s="219"/>
      <c r="H134" s="230"/>
      <c r="I134" s="230"/>
      <c r="J134" s="219"/>
      <c r="K134" s="219"/>
      <c r="L134" s="219"/>
      <c r="M134" s="219"/>
      <c r="N134" s="219"/>
      <c r="O134" s="219"/>
    </row>
    <row r="135" spans="2:15" x14ac:dyDescent="0.45">
      <c r="B135" s="167"/>
      <c r="C135" s="218"/>
      <c r="D135" s="223"/>
      <c r="E135" s="223"/>
      <c r="G135" s="219"/>
      <c r="H135" s="230"/>
      <c r="I135" s="230"/>
      <c r="J135" s="219"/>
      <c r="K135" s="219"/>
      <c r="L135" s="219"/>
      <c r="M135" s="219"/>
      <c r="N135" s="219"/>
      <c r="O135" s="219"/>
    </row>
    <row r="136" spans="2:15" x14ac:dyDescent="0.45">
      <c r="B136" s="167"/>
      <c r="C136" s="218"/>
      <c r="D136" s="223"/>
      <c r="E136" s="223"/>
      <c r="G136" s="219"/>
      <c r="H136" s="230"/>
      <c r="I136" s="230"/>
      <c r="J136" s="219"/>
      <c r="K136" s="219"/>
      <c r="L136" s="219"/>
      <c r="M136" s="219"/>
      <c r="N136" s="219"/>
      <c r="O136" s="219"/>
    </row>
    <row r="137" spans="2:15" x14ac:dyDescent="0.45">
      <c r="B137" s="167"/>
      <c r="C137" s="218"/>
      <c r="D137" s="223"/>
      <c r="E137" s="223"/>
      <c r="G137" s="219"/>
      <c r="H137" s="230"/>
      <c r="I137" s="230"/>
      <c r="J137" s="219"/>
      <c r="K137" s="219"/>
      <c r="L137" s="219"/>
      <c r="M137" s="219"/>
      <c r="N137" s="219"/>
      <c r="O137" s="219"/>
    </row>
    <row r="138" spans="2:15" x14ac:dyDescent="0.45">
      <c r="B138" s="167"/>
      <c r="C138" s="218"/>
      <c r="D138" s="223"/>
      <c r="E138" s="223"/>
      <c r="G138" s="219"/>
      <c r="H138" s="230"/>
      <c r="I138" s="230"/>
      <c r="J138" s="219"/>
      <c r="K138" s="219"/>
      <c r="L138" s="219"/>
      <c r="M138" s="219"/>
      <c r="N138" s="219"/>
      <c r="O138" s="219"/>
    </row>
    <row r="139" spans="2:15" x14ac:dyDescent="0.45">
      <c r="B139" s="167"/>
      <c r="C139" s="218"/>
      <c r="D139" s="223"/>
      <c r="E139" s="223"/>
      <c r="G139" s="219"/>
      <c r="H139" s="230"/>
      <c r="I139" s="230"/>
      <c r="J139" s="219"/>
      <c r="K139" s="219"/>
      <c r="L139" s="219"/>
      <c r="M139" s="219"/>
      <c r="N139" s="219"/>
      <c r="O139" s="219"/>
    </row>
    <row r="140" spans="2:15" x14ac:dyDescent="0.45">
      <c r="B140" s="167"/>
      <c r="C140" s="218"/>
      <c r="D140" s="223"/>
      <c r="E140" s="223"/>
      <c r="G140" s="219"/>
      <c r="H140" s="230"/>
      <c r="I140" s="230"/>
      <c r="J140" s="219"/>
      <c r="K140" s="219"/>
      <c r="L140" s="219"/>
      <c r="M140" s="219"/>
      <c r="N140" s="219"/>
      <c r="O140" s="219"/>
    </row>
    <row r="141" spans="2:15" x14ac:dyDescent="0.45">
      <c r="B141" s="167"/>
      <c r="C141" s="218"/>
      <c r="D141" s="223"/>
      <c r="E141" s="223"/>
      <c r="G141" s="219"/>
      <c r="H141" s="230"/>
      <c r="I141" s="230"/>
      <c r="J141" s="219"/>
      <c r="K141" s="219"/>
      <c r="L141" s="219"/>
      <c r="M141" s="219"/>
      <c r="N141" s="219"/>
      <c r="O141" s="219"/>
    </row>
    <row r="142" spans="2:15" x14ac:dyDescent="0.45">
      <c r="B142" s="167"/>
      <c r="C142" s="218"/>
      <c r="D142" s="223"/>
      <c r="E142" s="223"/>
      <c r="G142" s="219"/>
      <c r="H142" s="230"/>
      <c r="I142" s="230"/>
      <c r="J142" s="219"/>
      <c r="K142" s="219"/>
      <c r="L142" s="219"/>
      <c r="M142" s="219"/>
      <c r="N142" s="219"/>
      <c r="O142" s="219"/>
    </row>
    <row r="143" spans="2:15" x14ac:dyDescent="0.45">
      <c r="B143" s="167"/>
      <c r="C143" s="218"/>
      <c r="D143" s="223"/>
      <c r="E143" s="223"/>
      <c r="G143" s="219"/>
      <c r="H143" s="230"/>
      <c r="I143" s="230"/>
      <c r="J143" s="219"/>
      <c r="K143" s="219"/>
      <c r="L143" s="219"/>
      <c r="M143" s="219"/>
      <c r="N143" s="219"/>
      <c r="O143" s="219"/>
    </row>
    <row r="144" spans="2:15" x14ac:dyDescent="0.45">
      <c r="B144" s="167"/>
      <c r="C144" s="218"/>
      <c r="D144" s="223"/>
      <c r="E144" s="223"/>
      <c r="G144" s="219"/>
      <c r="H144" s="230"/>
      <c r="I144" s="230"/>
      <c r="J144" s="219"/>
      <c r="K144" s="219"/>
      <c r="L144" s="219"/>
      <c r="M144" s="219"/>
      <c r="N144" s="219"/>
      <c r="O144" s="219"/>
    </row>
    <row r="145" spans="2:15" x14ac:dyDescent="0.45">
      <c r="B145" s="167"/>
      <c r="C145" s="218"/>
      <c r="D145" s="223"/>
      <c r="E145" s="223"/>
      <c r="G145" s="219"/>
      <c r="H145" s="230"/>
      <c r="I145" s="230"/>
      <c r="J145" s="219"/>
      <c r="K145" s="219"/>
      <c r="L145" s="219"/>
      <c r="M145" s="219"/>
      <c r="N145" s="219"/>
      <c r="O145" s="219"/>
    </row>
    <row r="146" spans="2:15" x14ac:dyDescent="0.45">
      <c r="B146" s="167"/>
      <c r="C146" s="218"/>
      <c r="D146" s="223"/>
      <c r="E146" s="223"/>
      <c r="G146" s="219"/>
      <c r="H146" s="230"/>
      <c r="I146" s="230"/>
      <c r="J146" s="219"/>
      <c r="K146" s="219"/>
      <c r="L146" s="219"/>
      <c r="M146" s="219"/>
      <c r="N146" s="219"/>
      <c r="O146" s="219"/>
    </row>
    <row r="147" spans="2:15" x14ac:dyDescent="0.45">
      <c r="B147" s="167"/>
      <c r="C147" s="218"/>
      <c r="D147" s="223"/>
      <c r="E147" s="223"/>
      <c r="G147" s="219"/>
      <c r="H147" s="230"/>
      <c r="I147" s="230"/>
      <c r="J147" s="219"/>
      <c r="K147" s="219"/>
      <c r="L147" s="219"/>
      <c r="M147" s="219"/>
      <c r="N147" s="219"/>
      <c r="O147" s="219"/>
    </row>
    <row r="148" spans="2:15" x14ac:dyDescent="0.45">
      <c r="B148" s="167"/>
      <c r="C148" s="218"/>
      <c r="D148" s="223"/>
      <c r="E148" s="223"/>
      <c r="G148" s="219"/>
      <c r="H148" s="230"/>
      <c r="I148" s="230"/>
      <c r="J148" s="219"/>
      <c r="K148" s="219"/>
      <c r="L148" s="219"/>
      <c r="M148" s="219"/>
      <c r="N148" s="219"/>
      <c r="O148" s="219"/>
    </row>
    <row r="149" spans="2:15" x14ac:dyDescent="0.45">
      <c r="B149" s="167"/>
      <c r="C149" s="218"/>
      <c r="D149" s="223"/>
      <c r="E149" s="223"/>
      <c r="G149" s="219"/>
      <c r="H149" s="230"/>
      <c r="I149" s="230"/>
      <c r="J149" s="219"/>
      <c r="K149" s="219"/>
      <c r="L149" s="219"/>
      <c r="M149" s="219"/>
      <c r="N149" s="219"/>
      <c r="O149" s="219"/>
    </row>
    <row r="150" spans="2:15" x14ac:dyDescent="0.45">
      <c r="B150" s="167"/>
      <c r="C150" s="218"/>
      <c r="D150" s="223"/>
      <c r="E150" s="223"/>
      <c r="G150" s="219"/>
      <c r="H150" s="230"/>
      <c r="I150" s="230"/>
      <c r="J150" s="219"/>
      <c r="K150" s="219"/>
      <c r="L150" s="219"/>
      <c r="M150" s="219"/>
      <c r="N150" s="219"/>
      <c r="O150" s="219"/>
    </row>
    <row r="151" spans="2:15" x14ac:dyDescent="0.45">
      <c r="B151" s="167"/>
      <c r="C151" s="218"/>
      <c r="D151" s="223"/>
      <c r="E151" s="223"/>
      <c r="G151" s="219"/>
      <c r="H151" s="230"/>
      <c r="I151" s="230"/>
      <c r="J151" s="219"/>
      <c r="K151" s="219"/>
      <c r="L151" s="219"/>
      <c r="M151" s="219"/>
      <c r="N151" s="219"/>
      <c r="O151" s="219"/>
    </row>
    <row r="152" spans="2:15" x14ac:dyDescent="0.45">
      <c r="B152" s="167"/>
      <c r="C152" s="218"/>
      <c r="D152" s="223"/>
      <c r="E152" s="223"/>
      <c r="G152" s="219"/>
      <c r="H152" s="230"/>
      <c r="I152" s="230"/>
      <c r="J152" s="219"/>
      <c r="K152" s="219"/>
      <c r="L152" s="219"/>
      <c r="M152" s="219"/>
      <c r="N152" s="219"/>
      <c r="O152" s="219"/>
    </row>
    <row r="153" spans="2:15" x14ac:dyDescent="0.45">
      <c r="B153" s="167"/>
      <c r="C153" s="218"/>
      <c r="D153" s="223"/>
      <c r="E153" s="223"/>
      <c r="G153" s="219"/>
      <c r="H153" s="230"/>
      <c r="I153" s="230"/>
      <c r="J153" s="219"/>
      <c r="K153" s="219"/>
      <c r="L153" s="219"/>
      <c r="M153" s="219"/>
      <c r="N153" s="219"/>
      <c r="O153" s="219"/>
    </row>
    <row r="154" spans="2:15" x14ac:dyDescent="0.45">
      <c r="B154" s="167"/>
      <c r="C154" s="218"/>
      <c r="D154" s="223"/>
      <c r="E154" s="223"/>
      <c r="G154" s="219"/>
      <c r="H154" s="230"/>
      <c r="I154" s="230"/>
      <c r="J154" s="219"/>
      <c r="K154" s="219"/>
      <c r="L154" s="219"/>
      <c r="M154" s="219"/>
      <c r="N154" s="219"/>
      <c r="O154" s="219"/>
    </row>
    <row r="155" spans="2:15" x14ac:dyDescent="0.45">
      <c r="B155" s="167"/>
      <c r="C155" s="218"/>
      <c r="D155" s="223"/>
      <c r="E155" s="223"/>
      <c r="G155" s="219"/>
      <c r="H155" s="230"/>
      <c r="I155" s="230"/>
      <c r="J155" s="219"/>
      <c r="K155" s="219"/>
      <c r="L155" s="219"/>
      <c r="M155" s="219"/>
      <c r="N155" s="219"/>
      <c r="O155" s="219"/>
    </row>
    <row r="156" spans="2:15" x14ac:dyDescent="0.45">
      <c r="B156" s="167"/>
      <c r="C156" s="218"/>
      <c r="D156" s="223"/>
      <c r="E156" s="223"/>
      <c r="G156" s="219"/>
      <c r="H156" s="230"/>
      <c r="I156" s="230"/>
      <c r="J156" s="219"/>
      <c r="K156" s="219"/>
      <c r="L156" s="219"/>
      <c r="M156" s="219"/>
      <c r="N156" s="219"/>
      <c r="O156" s="219"/>
    </row>
    <row r="157" spans="2:15" x14ac:dyDescent="0.45">
      <c r="B157" s="167"/>
      <c r="C157" s="218"/>
      <c r="D157" s="223"/>
      <c r="E157" s="223"/>
      <c r="G157" s="219"/>
      <c r="H157" s="230"/>
      <c r="I157" s="230"/>
      <c r="J157" s="219"/>
      <c r="K157" s="219"/>
      <c r="L157" s="219"/>
      <c r="M157" s="219"/>
      <c r="N157" s="219"/>
      <c r="O157" s="219"/>
    </row>
    <row r="158" spans="2:15" x14ac:dyDescent="0.45">
      <c r="B158" s="167"/>
      <c r="C158" s="218"/>
      <c r="D158" s="223"/>
      <c r="E158" s="223"/>
      <c r="G158" s="219"/>
      <c r="H158" s="230"/>
      <c r="I158" s="230"/>
      <c r="J158" s="219"/>
      <c r="K158" s="219"/>
      <c r="L158" s="219"/>
      <c r="M158" s="219"/>
      <c r="N158" s="219"/>
      <c r="O158" s="219"/>
    </row>
    <row r="159" spans="2:15" x14ac:dyDescent="0.45">
      <c r="B159" s="167"/>
      <c r="C159" s="218"/>
      <c r="D159" s="223"/>
      <c r="E159" s="223"/>
      <c r="G159" s="219"/>
      <c r="H159" s="230"/>
      <c r="I159" s="230"/>
      <c r="J159" s="219"/>
      <c r="K159" s="219"/>
      <c r="L159" s="219"/>
      <c r="M159" s="219"/>
      <c r="N159" s="219"/>
      <c r="O159" s="219"/>
    </row>
    <row r="160" spans="2:15" x14ac:dyDescent="0.45">
      <c r="B160" s="167"/>
      <c r="C160" s="218"/>
      <c r="D160" s="223"/>
      <c r="E160" s="223"/>
      <c r="G160" s="219"/>
      <c r="H160" s="230"/>
      <c r="I160" s="230"/>
      <c r="J160" s="219"/>
      <c r="K160" s="219"/>
      <c r="L160" s="219"/>
      <c r="M160" s="219"/>
      <c r="N160" s="219"/>
      <c r="O160" s="219"/>
    </row>
    <row r="161" spans="2:15" x14ac:dyDescent="0.45">
      <c r="B161" s="167"/>
      <c r="C161" s="218"/>
      <c r="D161" s="223"/>
      <c r="E161" s="223"/>
      <c r="G161" s="219"/>
      <c r="H161" s="230"/>
      <c r="I161" s="230"/>
      <c r="J161" s="219"/>
      <c r="K161" s="219"/>
      <c r="L161" s="219"/>
      <c r="M161" s="219"/>
      <c r="N161" s="219"/>
      <c r="O161" s="219"/>
    </row>
    <row r="162" spans="2:15" x14ac:dyDescent="0.45">
      <c r="B162" s="167"/>
      <c r="C162" s="218"/>
      <c r="D162" s="223"/>
      <c r="E162" s="223"/>
      <c r="G162" s="219"/>
      <c r="H162" s="230"/>
      <c r="I162" s="230"/>
      <c r="J162" s="219"/>
      <c r="K162" s="219"/>
      <c r="L162" s="219"/>
      <c r="M162" s="219"/>
      <c r="N162" s="219"/>
      <c r="O162" s="219"/>
    </row>
    <row r="163" spans="2:15" x14ac:dyDescent="0.45">
      <c r="B163" s="167"/>
      <c r="C163" s="218"/>
      <c r="D163" s="223"/>
      <c r="E163" s="223"/>
      <c r="G163" s="219"/>
      <c r="H163" s="230"/>
      <c r="I163" s="230"/>
      <c r="J163" s="219"/>
      <c r="K163" s="219"/>
      <c r="L163" s="219"/>
      <c r="M163" s="219"/>
      <c r="N163" s="219"/>
      <c r="O163" s="219"/>
    </row>
    <row r="164" spans="2:15" x14ac:dyDescent="0.45">
      <c r="B164" s="167"/>
      <c r="C164" s="218"/>
      <c r="D164" s="223"/>
      <c r="E164" s="223"/>
      <c r="G164" s="219"/>
      <c r="H164" s="230"/>
      <c r="I164" s="230"/>
      <c r="J164" s="219"/>
      <c r="K164" s="219"/>
      <c r="L164" s="219"/>
      <c r="M164" s="219"/>
      <c r="N164" s="219"/>
      <c r="O164" s="219"/>
    </row>
    <row r="165" spans="2:15" x14ac:dyDescent="0.45">
      <c r="B165" s="167"/>
      <c r="C165" s="218"/>
      <c r="D165" s="223"/>
      <c r="E165" s="223"/>
      <c r="G165" s="219"/>
      <c r="H165" s="230"/>
      <c r="I165" s="230"/>
      <c r="J165" s="219"/>
      <c r="K165" s="219"/>
      <c r="L165" s="219"/>
      <c r="M165" s="219"/>
      <c r="N165" s="219"/>
      <c r="O165" s="219"/>
    </row>
    <row r="166" spans="2:15" x14ac:dyDescent="0.45">
      <c r="B166" s="167"/>
      <c r="C166" s="218"/>
      <c r="D166" s="223"/>
      <c r="E166" s="223"/>
      <c r="G166" s="219"/>
      <c r="H166" s="230"/>
      <c r="I166" s="230"/>
      <c r="J166" s="219"/>
      <c r="K166" s="219"/>
      <c r="L166" s="219"/>
      <c r="M166" s="219"/>
      <c r="N166" s="219"/>
      <c r="O166" s="219"/>
    </row>
    <row r="167" spans="2:15" x14ac:dyDescent="0.45">
      <c r="B167" s="167"/>
      <c r="C167" s="218"/>
      <c r="D167" s="223"/>
      <c r="E167" s="223"/>
      <c r="G167" s="219"/>
      <c r="H167" s="230"/>
      <c r="I167" s="230"/>
      <c r="J167" s="219"/>
      <c r="K167" s="219"/>
      <c r="L167" s="219"/>
      <c r="M167" s="219"/>
      <c r="N167" s="219"/>
      <c r="O167" s="219"/>
    </row>
    <row r="168" spans="2:15" x14ac:dyDescent="0.45">
      <c r="B168" s="167"/>
      <c r="C168" s="218"/>
      <c r="D168" s="223"/>
      <c r="E168" s="223"/>
      <c r="G168" s="219"/>
      <c r="H168" s="230"/>
      <c r="I168" s="230"/>
      <c r="J168" s="219"/>
      <c r="K168" s="219"/>
      <c r="L168" s="219"/>
      <c r="M168" s="219"/>
      <c r="N168" s="219"/>
      <c r="O168" s="219"/>
    </row>
    <row r="169" spans="2:15" x14ac:dyDescent="0.45">
      <c r="B169" s="167"/>
      <c r="C169" s="218"/>
      <c r="D169" s="223"/>
      <c r="E169" s="223"/>
      <c r="G169" s="219"/>
      <c r="H169" s="230"/>
      <c r="I169" s="230"/>
      <c r="J169" s="219"/>
      <c r="K169" s="219"/>
      <c r="L169" s="219"/>
      <c r="M169" s="219"/>
      <c r="N169" s="219"/>
      <c r="O169" s="219"/>
    </row>
    <row r="170" spans="2:15" x14ac:dyDescent="0.45">
      <c r="B170" s="167"/>
      <c r="C170" s="218"/>
      <c r="D170" s="223"/>
      <c r="E170" s="223"/>
      <c r="G170" s="219"/>
      <c r="H170" s="230"/>
      <c r="I170" s="230"/>
      <c r="J170" s="219"/>
      <c r="K170" s="219"/>
      <c r="L170" s="219"/>
      <c r="M170" s="219"/>
      <c r="N170" s="219"/>
      <c r="O170" s="219"/>
    </row>
    <row r="171" spans="2:15" x14ac:dyDescent="0.45">
      <c r="B171" s="167"/>
      <c r="C171" s="218"/>
      <c r="D171" s="223"/>
      <c r="E171" s="223"/>
      <c r="G171" s="219"/>
      <c r="H171" s="230"/>
      <c r="I171" s="230"/>
      <c r="J171" s="219"/>
      <c r="K171" s="219"/>
      <c r="L171" s="219"/>
      <c r="M171" s="219"/>
      <c r="N171" s="219"/>
      <c r="O171" s="219"/>
    </row>
    <row r="172" spans="2:15" x14ac:dyDescent="0.45">
      <c r="B172" s="167"/>
      <c r="C172" s="218"/>
      <c r="D172" s="223"/>
      <c r="E172" s="223"/>
      <c r="G172" s="219"/>
      <c r="H172" s="230"/>
      <c r="I172" s="230"/>
      <c r="J172" s="219"/>
      <c r="K172" s="219"/>
      <c r="L172" s="219"/>
      <c r="M172" s="219"/>
      <c r="N172" s="219"/>
      <c r="O172" s="219"/>
    </row>
    <row r="173" spans="2:15" x14ac:dyDescent="0.45">
      <c r="B173" s="167"/>
      <c r="C173" s="218"/>
      <c r="D173" s="223"/>
      <c r="E173" s="223"/>
      <c r="G173" s="219"/>
      <c r="H173" s="230"/>
      <c r="I173" s="230"/>
      <c r="J173" s="219"/>
      <c r="K173" s="219"/>
      <c r="L173" s="219"/>
      <c r="M173" s="219"/>
      <c r="N173" s="219"/>
      <c r="O173" s="219"/>
    </row>
    <row r="174" spans="2:15" x14ac:dyDescent="0.45">
      <c r="B174" s="167"/>
      <c r="C174" s="218"/>
      <c r="D174" s="223"/>
      <c r="E174" s="223"/>
      <c r="G174" s="219"/>
      <c r="H174" s="230"/>
      <c r="I174" s="230"/>
      <c r="J174" s="219"/>
      <c r="K174" s="219"/>
      <c r="L174" s="219"/>
      <c r="M174" s="219"/>
      <c r="N174" s="219"/>
      <c r="O174" s="219"/>
    </row>
    <row r="175" spans="2:15" x14ac:dyDescent="0.45">
      <c r="B175" s="167"/>
      <c r="C175" s="218"/>
      <c r="D175" s="223"/>
      <c r="E175" s="223"/>
      <c r="G175" s="219"/>
      <c r="H175" s="230"/>
      <c r="I175" s="230"/>
      <c r="J175" s="219"/>
      <c r="K175" s="219"/>
      <c r="L175" s="219"/>
      <c r="M175" s="219"/>
      <c r="N175" s="219"/>
      <c r="O175" s="219"/>
    </row>
  </sheetData>
  <sheetProtection password="DA43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ResetSheet13" altText="Reset Form">
                <anchor moveWithCells="1" sizeWithCells="1">
                  <from>
                    <xdr:col>6</xdr:col>
                    <xdr:colOff>376238</xdr:colOff>
                    <xdr:row>2</xdr:row>
                    <xdr:rowOff>76200</xdr:rowOff>
                  </from>
                  <to>
                    <xdr:col>6</xdr:col>
                    <xdr:colOff>1185863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A1:J45"/>
  <sheetViews>
    <sheetView showGridLines="0" showRowColHeaders="0" workbookViewId="0">
      <pane ySplit="6" topLeftCell="A7" activePane="bottomLeft" state="frozen"/>
      <selection activeCell="A3" sqref="A3"/>
      <selection pane="bottomLeft"/>
    </sheetView>
  </sheetViews>
  <sheetFormatPr defaultRowHeight="14.25" x14ac:dyDescent="0.45"/>
  <cols>
    <col min="1" max="1" width="1.9296875" style="122" customWidth="1"/>
    <col min="2" max="2" width="5.9296875" style="122" customWidth="1"/>
    <col min="3" max="3" width="12.9296875" style="122" customWidth="1"/>
    <col min="4" max="4" width="16.59765625" style="122" customWidth="1"/>
    <col min="5" max="5" width="18.19921875" style="122" customWidth="1"/>
    <col min="6" max="6" width="116.59765625" style="122" customWidth="1"/>
    <col min="7" max="7" width="6.59765625" style="122" hidden="1" customWidth="1"/>
    <col min="8" max="8" width="13.19921875" style="122" hidden="1" customWidth="1"/>
    <col min="9" max="9" width="27.59765625" style="122" hidden="1" customWidth="1"/>
    <col min="10" max="10" width="11.06640625" style="122" hidden="1" customWidth="1"/>
    <col min="11" max="16384" width="9.06640625" style="122"/>
  </cols>
  <sheetData>
    <row r="1" spans="1:10" ht="14.65" thickBot="1" x14ac:dyDescent="0.5">
      <c r="A1" s="116"/>
      <c r="B1" s="117"/>
      <c r="C1" s="118" t="s">
        <v>325</v>
      </c>
      <c r="D1" s="119"/>
      <c r="E1" s="119"/>
      <c r="F1" s="120"/>
      <c r="G1" s="120"/>
      <c r="H1" s="210"/>
      <c r="I1" s="116"/>
      <c r="J1" s="121"/>
    </row>
    <row r="2" spans="1:10" ht="18.399999999999999" thickBot="1" x14ac:dyDescent="0.6">
      <c r="A2" s="116"/>
      <c r="B2" s="123"/>
      <c r="C2" s="124" t="s">
        <v>323</v>
      </c>
      <c r="D2" s="116"/>
      <c r="E2" s="116"/>
      <c r="F2" s="125" t="s">
        <v>415</v>
      </c>
      <c r="G2" s="125"/>
      <c r="H2" s="210"/>
      <c r="I2" s="116"/>
      <c r="J2" s="121"/>
    </row>
    <row r="3" spans="1:10" ht="16.149999999999999" thickBot="1" x14ac:dyDescent="0.55000000000000004">
      <c r="A3" s="116"/>
      <c r="B3" s="123"/>
      <c r="C3" s="126" t="s">
        <v>324</v>
      </c>
      <c r="D3" s="127"/>
      <c r="E3" s="127"/>
      <c r="F3" s="128" t="s">
        <v>370</v>
      </c>
      <c r="G3" s="128"/>
      <c r="H3" s="210"/>
      <c r="I3" s="116"/>
      <c r="J3" s="121"/>
    </row>
    <row r="4" spans="1:10" ht="14.65" thickBot="1" x14ac:dyDescent="0.5">
      <c r="A4" s="116"/>
      <c r="B4" s="123"/>
      <c r="C4" s="129" t="s">
        <v>322</v>
      </c>
      <c r="D4" s="260"/>
      <c r="E4" s="116"/>
      <c r="F4" s="130"/>
      <c r="G4" s="130"/>
      <c r="H4" s="210"/>
      <c r="I4" s="116"/>
      <c r="J4" s="121"/>
    </row>
    <row r="5" spans="1:10" ht="14.65" thickBot="1" x14ac:dyDescent="0.5">
      <c r="A5" s="116"/>
      <c r="B5" s="117"/>
      <c r="C5" s="300">
        <f>General!I7</f>
        <v>2015</v>
      </c>
      <c r="D5" s="119"/>
      <c r="E5" s="119"/>
      <c r="F5" s="120"/>
      <c r="G5" s="120"/>
      <c r="H5" s="210"/>
      <c r="I5" s="116"/>
      <c r="J5" s="121"/>
    </row>
    <row r="6" spans="1:10" s="316" customFormat="1" ht="29.25" thickTop="1" thickBot="1" x14ac:dyDescent="0.5">
      <c r="A6" s="315"/>
      <c r="B6" s="318" t="s">
        <v>214</v>
      </c>
      <c r="C6" s="319" t="s">
        <v>215</v>
      </c>
      <c r="D6" s="342" t="s">
        <v>369</v>
      </c>
      <c r="E6" s="343" t="s">
        <v>166</v>
      </c>
      <c r="F6" s="321" t="s">
        <v>100</v>
      </c>
      <c r="G6" s="344"/>
      <c r="H6" s="314" t="s">
        <v>224</v>
      </c>
      <c r="I6" s="314" t="s">
        <v>223</v>
      </c>
      <c r="J6" s="317" t="s">
        <v>222</v>
      </c>
    </row>
    <row r="7" spans="1:10" ht="16.05" customHeight="1" thickTop="1" thickBot="1" x14ac:dyDescent="0.5">
      <c r="B7" s="117">
        <v>1</v>
      </c>
      <c r="C7" s="263"/>
      <c r="D7" s="335" t="s">
        <v>363</v>
      </c>
      <c r="E7" s="336" t="s">
        <v>296</v>
      </c>
      <c r="F7" s="328" t="s">
        <v>424</v>
      </c>
      <c r="G7" s="163"/>
      <c r="H7" s="131" t="s">
        <v>178</v>
      </c>
      <c r="I7" s="132" t="s">
        <v>29</v>
      </c>
      <c r="J7" s="133" t="str">
        <f>IF(C7="Yes",H7,H8)</f>
        <v>No</v>
      </c>
    </row>
    <row r="8" spans="1:10" ht="16.05" customHeight="1" thickBot="1" x14ac:dyDescent="0.5">
      <c r="B8" s="117">
        <v>2</v>
      </c>
      <c r="C8" s="264"/>
      <c r="D8" s="329" t="s">
        <v>363</v>
      </c>
      <c r="E8" s="330" t="s">
        <v>296</v>
      </c>
      <c r="F8" s="331" t="s">
        <v>425</v>
      </c>
      <c r="G8" s="163"/>
      <c r="H8" s="134" t="s">
        <v>179</v>
      </c>
      <c r="I8" s="135" t="s">
        <v>30</v>
      </c>
      <c r="J8" s="136" t="str">
        <f>IF(C7="No",H8,H7)</f>
        <v>Yes</v>
      </c>
    </row>
    <row r="9" spans="1:10" ht="16.05" customHeight="1" thickTop="1" thickBot="1" x14ac:dyDescent="0.5">
      <c r="B9" s="117">
        <v>3</v>
      </c>
      <c r="C9" s="264"/>
      <c r="D9" s="329" t="s">
        <v>363</v>
      </c>
      <c r="E9" s="330" t="s">
        <v>296</v>
      </c>
      <c r="F9" s="331" t="s">
        <v>426</v>
      </c>
      <c r="G9" s="163"/>
      <c r="H9" s="131" t="s">
        <v>178</v>
      </c>
      <c r="I9" s="132" t="s">
        <v>31</v>
      </c>
      <c r="J9" s="133" t="str">
        <f>IF(C8="Yes",H9,H10)</f>
        <v>No</v>
      </c>
    </row>
    <row r="10" spans="1:10" ht="16.05" customHeight="1" thickBot="1" x14ac:dyDescent="0.5">
      <c r="B10" s="117">
        <v>4</v>
      </c>
      <c r="C10" s="265"/>
      <c r="D10" s="330" t="s">
        <v>368</v>
      </c>
      <c r="E10" s="330"/>
      <c r="F10" s="331" t="s">
        <v>427</v>
      </c>
      <c r="G10" s="163"/>
      <c r="H10" s="134" t="s">
        <v>179</v>
      </c>
      <c r="I10" s="135" t="s">
        <v>32</v>
      </c>
      <c r="J10" s="136" t="str">
        <f>IF(C8="No",H10,H9)</f>
        <v>Yes</v>
      </c>
    </row>
    <row r="11" spans="1:10" ht="16.05" customHeight="1" thickTop="1" thickBot="1" x14ac:dyDescent="0.5">
      <c r="B11" s="117">
        <v>5</v>
      </c>
      <c r="C11" s="264"/>
      <c r="D11" s="329" t="s">
        <v>363</v>
      </c>
      <c r="E11" s="330" t="s">
        <v>296</v>
      </c>
      <c r="F11" s="331" t="s">
        <v>428</v>
      </c>
      <c r="G11" s="163"/>
      <c r="H11" s="131" t="s">
        <v>178</v>
      </c>
      <c r="I11" s="132" t="s">
        <v>33</v>
      </c>
      <c r="J11" s="133" t="str">
        <f>IF(C9="Yes",H11,H12)</f>
        <v>No</v>
      </c>
    </row>
    <row r="12" spans="1:10" ht="16.05" customHeight="1" thickBot="1" x14ac:dyDescent="0.5">
      <c r="B12" s="117">
        <v>6</v>
      </c>
      <c r="C12" s="266"/>
      <c r="D12" s="330" t="s">
        <v>368</v>
      </c>
      <c r="E12" s="330"/>
      <c r="F12" s="331" t="s">
        <v>429</v>
      </c>
      <c r="G12" s="163"/>
      <c r="H12" s="134" t="s">
        <v>179</v>
      </c>
      <c r="I12" s="135" t="s">
        <v>34</v>
      </c>
      <c r="J12" s="136" t="str">
        <f>IF(C9="No",H12,H11)</f>
        <v>Yes</v>
      </c>
    </row>
    <row r="13" spans="1:10" ht="16.05" customHeight="1" thickBot="1" x14ac:dyDescent="0.5">
      <c r="B13" s="117">
        <v>7</v>
      </c>
      <c r="C13" s="267"/>
      <c r="D13" s="330" t="s">
        <v>368</v>
      </c>
      <c r="E13" s="330" t="s">
        <v>326</v>
      </c>
      <c r="F13" s="331" t="s">
        <v>430</v>
      </c>
      <c r="G13" s="163"/>
      <c r="H13" s="137"/>
      <c r="I13" s="138" t="s">
        <v>35</v>
      </c>
      <c r="J13" s="139" t="str">
        <f>UPPER(IF(C10="","",C10))</f>
        <v/>
      </c>
    </row>
    <row r="14" spans="1:10" ht="16.05" customHeight="1" thickTop="1" thickBot="1" x14ac:dyDescent="0.5">
      <c r="B14" s="117">
        <v>8</v>
      </c>
      <c r="C14" s="268"/>
      <c r="D14" s="330" t="s">
        <v>368</v>
      </c>
      <c r="E14" s="330" t="s">
        <v>181</v>
      </c>
      <c r="F14" s="331" t="s">
        <v>431</v>
      </c>
      <c r="G14" s="163"/>
      <c r="H14" s="140" t="s">
        <v>178</v>
      </c>
      <c r="I14" s="132" t="s">
        <v>36</v>
      </c>
      <c r="J14" s="133" t="str">
        <f>IF(C11="Yes",H14,H15)</f>
        <v>No</v>
      </c>
    </row>
    <row r="15" spans="1:10" ht="16.05" customHeight="1" thickBot="1" x14ac:dyDescent="0.5">
      <c r="B15" s="117">
        <v>9</v>
      </c>
      <c r="C15" s="268"/>
      <c r="D15" s="330" t="s">
        <v>368</v>
      </c>
      <c r="E15" s="330" t="s">
        <v>181</v>
      </c>
      <c r="F15" s="331" t="s">
        <v>432</v>
      </c>
      <c r="G15" s="163"/>
      <c r="H15" s="141" t="s">
        <v>179</v>
      </c>
      <c r="I15" s="135" t="s">
        <v>37</v>
      </c>
      <c r="J15" s="136" t="str">
        <f>IF(C11="No",H15,H14)</f>
        <v>Yes</v>
      </c>
    </row>
    <row r="16" spans="1:10" ht="16.05" customHeight="1" thickBot="1" x14ac:dyDescent="0.5">
      <c r="B16" s="117">
        <v>10</v>
      </c>
      <c r="C16" s="268"/>
      <c r="D16" s="330" t="s">
        <v>368</v>
      </c>
      <c r="E16" s="330" t="s">
        <v>181</v>
      </c>
      <c r="F16" s="331" t="s">
        <v>433</v>
      </c>
      <c r="G16" s="163"/>
      <c r="H16" s="137"/>
      <c r="I16" s="142" t="s">
        <v>38</v>
      </c>
      <c r="J16" s="139" t="str">
        <f>UPPER(IF(C12="","",C12))</f>
        <v/>
      </c>
    </row>
    <row r="17" spans="2:10" ht="16.05" customHeight="1" thickTop="1" thickBot="1" x14ac:dyDescent="0.5">
      <c r="B17" s="117">
        <v>11</v>
      </c>
      <c r="C17" s="268"/>
      <c r="D17" s="330" t="s">
        <v>368</v>
      </c>
      <c r="E17" s="330" t="s">
        <v>181</v>
      </c>
      <c r="F17" s="331" t="s">
        <v>434</v>
      </c>
      <c r="G17" s="163"/>
      <c r="H17" s="140" t="s">
        <v>179</v>
      </c>
      <c r="I17" s="132" t="s">
        <v>39</v>
      </c>
      <c r="J17" s="133" t="str">
        <f>IF(C13="Canada",H17,"")</f>
        <v/>
      </c>
    </row>
    <row r="18" spans="2:10" ht="16.05" customHeight="1" thickBot="1" x14ac:dyDescent="0.5">
      <c r="B18" s="117">
        <v>12</v>
      </c>
      <c r="C18" s="268"/>
      <c r="D18" s="330" t="s">
        <v>368</v>
      </c>
      <c r="E18" s="330" t="s">
        <v>181</v>
      </c>
      <c r="F18" s="331" t="s">
        <v>435</v>
      </c>
      <c r="G18" s="163"/>
      <c r="H18" s="141" t="s">
        <v>178</v>
      </c>
      <c r="I18" s="135" t="s">
        <v>40</v>
      </c>
      <c r="J18" s="136" t="str">
        <f>IF(C13="Mexico",H18,"")</f>
        <v/>
      </c>
    </row>
    <row r="19" spans="2:10" ht="16.05" customHeight="1" thickBot="1" x14ac:dyDescent="0.5">
      <c r="B19" s="117">
        <v>13</v>
      </c>
      <c r="C19" s="268"/>
      <c r="D19" s="330" t="s">
        <v>368</v>
      </c>
      <c r="E19" s="330" t="s">
        <v>181</v>
      </c>
      <c r="F19" s="331" t="s">
        <v>436</v>
      </c>
      <c r="G19" s="163"/>
      <c r="H19" s="137"/>
      <c r="I19" s="142" t="s">
        <v>41</v>
      </c>
      <c r="J19" s="139" t="str">
        <f>IF(C14="","",C14)</f>
        <v/>
      </c>
    </row>
    <row r="20" spans="2:10" ht="16.05" customHeight="1" thickBot="1" x14ac:dyDescent="0.5">
      <c r="B20" s="117">
        <v>14</v>
      </c>
      <c r="C20" s="268"/>
      <c r="D20" s="330" t="s">
        <v>368</v>
      </c>
      <c r="E20" s="330" t="s">
        <v>181</v>
      </c>
      <c r="F20" s="331" t="s">
        <v>437</v>
      </c>
      <c r="G20" s="163"/>
      <c r="H20" s="137"/>
      <c r="I20" s="142" t="s">
        <v>42</v>
      </c>
      <c r="J20" s="139" t="str">
        <f t="shared" ref="J20:J29" si="0">IF(C15="","",C15)</f>
        <v/>
      </c>
    </row>
    <row r="21" spans="2:10" ht="16.05" customHeight="1" thickBot="1" x14ac:dyDescent="0.5">
      <c r="B21" s="117">
        <v>15</v>
      </c>
      <c r="C21" s="268"/>
      <c r="D21" s="330" t="s">
        <v>368</v>
      </c>
      <c r="E21" s="330" t="s">
        <v>181</v>
      </c>
      <c r="F21" s="331" t="s">
        <v>438</v>
      </c>
      <c r="G21" s="163"/>
      <c r="H21" s="137"/>
      <c r="I21" s="142" t="s">
        <v>157</v>
      </c>
      <c r="J21" s="139" t="str">
        <f t="shared" si="0"/>
        <v/>
      </c>
    </row>
    <row r="22" spans="2:10" ht="16.05" customHeight="1" thickBot="1" x14ac:dyDescent="0.5">
      <c r="B22" s="117">
        <v>16</v>
      </c>
      <c r="C22" s="266"/>
      <c r="D22" s="330" t="s">
        <v>368</v>
      </c>
      <c r="E22" s="330"/>
      <c r="F22" s="331" t="s">
        <v>449</v>
      </c>
      <c r="G22" s="262">
        <f>G23-1</f>
        <v>2013</v>
      </c>
      <c r="H22" s="137"/>
      <c r="I22" s="142" t="s">
        <v>158</v>
      </c>
      <c r="J22" s="139" t="str">
        <f t="shared" si="0"/>
        <v/>
      </c>
    </row>
    <row r="23" spans="2:10" ht="16.05" customHeight="1" thickBot="1" x14ac:dyDescent="0.5">
      <c r="B23" s="117">
        <v>17</v>
      </c>
      <c r="C23" s="266"/>
      <c r="D23" s="330" t="s">
        <v>368</v>
      </c>
      <c r="E23" s="330"/>
      <c r="F23" s="331" t="s">
        <v>450</v>
      </c>
      <c r="G23" s="262">
        <f>G24-1</f>
        <v>2014</v>
      </c>
      <c r="H23" s="137"/>
      <c r="I23" s="142" t="s">
        <v>159</v>
      </c>
      <c r="J23" s="139" t="str">
        <f t="shared" si="0"/>
        <v/>
      </c>
    </row>
    <row r="24" spans="2:10" ht="16.05" customHeight="1" thickBot="1" x14ac:dyDescent="0.5">
      <c r="B24" s="117">
        <v>18</v>
      </c>
      <c r="C24" s="266"/>
      <c r="D24" s="330" t="s">
        <v>368</v>
      </c>
      <c r="E24" s="330"/>
      <c r="F24" s="331" t="s">
        <v>451</v>
      </c>
      <c r="G24" s="262">
        <f>C5</f>
        <v>2015</v>
      </c>
      <c r="H24" s="137"/>
      <c r="I24" s="142" t="s">
        <v>160</v>
      </c>
      <c r="J24" s="139" t="str">
        <f t="shared" si="0"/>
        <v/>
      </c>
    </row>
    <row r="25" spans="2:10" ht="16.05" customHeight="1" thickBot="1" x14ac:dyDescent="0.5">
      <c r="B25" s="117">
        <v>19</v>
      </c>
      <c r="C25" s="264"/>
      <c r="D25" s="329" t="s">
        <v>363</v>
      </c>
      <c r="E25" s="330"/>
      <c r="F25" s="331" t="s">
        <v>439</v>
      </c>
      <c r="G25" s="163"/>
      <c r="H25" s="137"/>
      <c r="I25" s="142" t="s">
        <v>364</v>
      </c>
      <c r="J25" s="139" t="str">
        <f t="shared" si="0"/>
        <v/>
      </c>
    </row>
    <row r="26" spans="2:10" ht="16.05" customHeight="1" thickBot="1" x14ac:dyDescent="0.5">
      <c r="B26" s="117">
        <v>20</v>
      </c>
      <c r="C26" s="266"/>
      <c r="D26" s="330" t="s">
        <v>368</v>
      </c>
      <c r="E26" s="330" t="s">
        <v>313</v>
      </c>
      <c r="F26" s="331" t="s">
        <v>440</v>
      </c>
      <c r="G26" s="163"/>
      <c r="H26" s="137"/>
      <c r="I26" s="142" t="s">
        <v>365</v>
      </c>
      <c r="J26" s="139" t="str">
        <f t="shared" si="0"/>
        <v/>
      </c>
    </row>
    <row r="27" spans="2:10" ht="16.05" customHeight="1" thickBot="1" x14ac:dyDescent="0.5">
      <c r="B27" s="117">
        <v>21</v>
      </c>
      <c r="C27" s="264"/>
      <c r="D27" s="329" t="s">
        <v>363</v>
      </c>
      <c r="E27" s="330"/>
      <c r="F27" s="331" t="s">
        <v>441</v>
      </c>
      <c r="G27" s="163"/>
      <c r="H27" s="137"/>
      <c r="I27" s="142" t="s">
        <v>402</v>
      </c>
      <c r="J27" s="139" t="str">
        <f t="shared" si="0"/>
        <v/>
      </c>
    </row>
    <row r="28" spans="2:10" ht="16.05" customHeight="1" thickBot="1" x14ac:dyDescent="0.5">
      <c r="B28" s="117">
        <v>22</v>
      </c>
      <c r="C28" s="264"/>
      <c r="D28" s="329" t="s">
        <v>363</v>
      </c>
      <c r="E28" s="330"/>
      <c r="F28" s="331" t="s">
        <v>442</v>
      </c>
      <c r="G28" s="163"/>
      <c r="H28" s="137"/>
      <c r="I28" s="142" t="s">
        <v>403</v>
      </c>
      <c r="J28" s="139" t="str">
        <f t="shared" si="0"/>
        <v/>
      </c>
    </row>
    <row r="29" spans="2:10" ht="16.05" customHeight="1" thickBot="1" x14ac:dyDescent="0.5">
      <c r="B29" s="117">
        <v>23</v>
      </c>
      <c r="C29" s="264"/>
      <c r="D29" s="329" t="s">
        <v>363</v>
      </c>
      <c r="E29" s="330"/>
      <c r="F29" s="331" t="s">
        <v>443</v>
      </c>
      <c r="G29" s="163"/>
      <c r="H29" s="137"/>
      <c r="I29" s="142" t="s">
        <v>404</v>
      </c>
      <c r="J29" s="139" t="str">
        <f t="shared" si="0"/>
        <v/>
      </c>
    </row>
    <row r="30" spans="2:10" ht="16.05" customHeight="1" thickTop="1" thickBot="1" x14ac:dyDescent="0.5">
      <c r="B30" s="117">
        <v>24</v>
      </c>
      <c r="C30" s="264"/>
      <c r="D30" s="329" t="s">
        <v>363</v>
      </c>
      <c r="E30" s="330"/>
      <c r="F30" s="331" t="s">
        <v>444</v>
      </c>
      <c r="G30" s="163"/>
      <c r="H30" s="140" t="s">
        <v>178</v>
      </c>
      <c r="I30" s="132" t="s">
        <v>43</v>
      </c>
      <c r="J30" s="133" t="str">
        <f>IF(C25="Yes",H30,H31)</f>
        <v>No</v>
      </c>
    </row>
    <row r="31" spans="2:10" ht="16.05" customHeight="1" thickBot="1" x14ac:dyDescent="0.5">
      <c r="B31" s="117">
        <v>26</v>
      </c>
      <c r="C31" s="264"/>
      <c r="D31" s="329" t="s">
        <v>363</v>
      </c>
      <c r="E31" s="330"/>
      <c r="F31" s="331" t="s">
        <v>445</v>
      </c>
      <c r="G31" s="163"/>
      <c r="H31" s="143" t="s">
        <v>179</v>
      </c>
      <c r="I31" s="144" t="s">
        <v>44</v>
      </c>
      <c r="J31" s="136" t="str">
        <f>IF(C25="No",H31,H30)</f>
        <v>Yes</v>
      </c>
    </row>
    <row r="32" spans="2:10" ht="16.05" customHeight="1" thickBot="1" x14ac:dyDescent="0.5">
      <c r="B32" s="117">
        <v>27</v>
      </c>
      <c r="C32" s="269"/>
      <c r="D32" s="337" t="s">
        <v>363</v>
      </c>
      <c r="E32" s="338"/>
      <c r="F32" s="339" t="s">
        <v>446</v>
      </c>
      <c r="G32" s="163"/>
      <c r="H32" s="137"/>
      <c r="I32" s="138" t="s">
        <v>45</v>
      </c>
      <c r="J32" s="139" t="str">
        <f>IF(C26="","",C26)</f>
        <v/>
      </c>
    </row>
    <row r="33" spans="1:10" ht="16.05" customHeight="1" thickTop="1" x14ac:dyDescent="0.45">
      <c r="A33" s="163"/>
      <c r="B33" s="163"/>
      <c r="C33" s="309"/>
      <c r="D33" s="163"/>
      <c r="E33" s="163"/>
      <c r="F33" s="163"/>
      <c r="G33" s="163"/>
      <c r="H33" s="140" t="s">
        <v>178</v>
      </c>
      <c r="I33" s="132" t="s">
        <v>46</v>
      </c>
      <c r="J33" s="133" t="str">
        <f>IF(C27="Yes",H33,H34)</f>
        <v>No</v>
      </c>
    </row>
    <row r="34" spans="1:10" ht="16.05" customHeight="1" thickBot="1" x14ac:dyDescent="0.5">
      <c r="A34" s="163"/>
      <c r="B34" s="163"/>
      <c r="C34" s="309"/>
      <c r="D34" s="163"/>
      <c r="E34" s="163"/>
      <c r="F34" s="163"/>
      <c r="G34" s="163"/>
      <c r="H34" s="141" t="s">
        <v>179</v>
      </c>
      <c r="I34" s="135" t="s">
        <v>47</v>
      </c>
      <c r="J34" s="136" t="str">
        <f>IF(C27="No",H34,H33)</f>
        <v>Yes</v>
      </c>
    </row>
    <row r="35" spans="1:10" ht="16.05" customHeight="1" thickTop="1" thickBot="1" x14ac:dyDescent="0.5">
      <c r="A35" s="116"/>
      <c r="B35" s="117"/>
      <c r="C35" s="307"/>
      <c r="D35" s="119"/>
      <c r="E35" s="119"/>
      <c r="F35" s="146"/>
      <c r="G35" s="163"/>
      <c r="H35" s="140" t="s">
        <v>178</v>
      </c>
      <c r="I35" s="132" t="s">
        <v>48</v>
      </c>
      <c r="J35" s="133" t="str">
        <f>IF(C28="Yes",H35,H36)</f>
        <v>No</v>
      </c>
    </row>
    <row r="36" spans="1:10" ht="16.05" customHeight="1" thickTop="1" thickBot="1" x14ac:dyDescent="0.5">
      <c r="C36" s="308"/>
      <c r="G36" s="146"/>
      <c r="H36" s="145" t="s">
        <v>179</v>
      </c>
      <c r="I36" s="132" t="s">
        <v>49</v>
      </c>
      <c r="J36" s="136" t="str">
        <f>IF(C28="No",H36,H35)</f>
        <v>Yes</v>
      </c>
    </row>
    <row r="37" spans="1:10" ht="15" thickTop="1" thickBot="1" x14ac:dyDescent="0.5">
      <c r="C37" s="308"/>
      <c r="H37" s="147" t="s">
        <v>178</v>
      </c>
      <c r="I37" s="132" t="s">
        <v>50</v>
      </c>
      <c r="J37" s="133" t="str">
        <f>IF(C29="Yes",H37,H38)</f>
        <v>No</v>
      </c>
    </row>
    <row r="38" spans="1:10" ht="15" thickTop="1" thickBot="1" x14ac:dyDescent="0.5">
      <c r="C38" s="308"/>
      <c r="H38" s="147" t="s">
        <v>179</v>
      </c>
      <c r="I38" s="132" t="s">
        <v>51</v>
      </c>
      <c r="J38" s="136" t="str">
        <f>IF(C29="No",H38,H37)</f>
        <v>Yes</v>
      </c>
    </row>
    <row r="39" spans="1:10" ht="15" thickTop="1" thickBot="1" x14ac:dyDescent="0.5">
      <c r="C39" s="308"/>
      <c r="H39" s="147" t="s">
        <v>178</v>
      </c>
      <c r="I39" s="132" t="s">
        <v>52</v>
      </c>
      <c r="J39" s="133" t="str">
        <f>IF(C30="Yes",H39,H40)</f>
        <v>No</v>
      </c>
    </row>
    <row r="40" spans="1:10" ht="15" thickTop="1" thickBot="1" x14ac:dyDescent="0.5">
      <c r="C40" s="308"/>
      <c r="H40" s="147" t="s">
        <v>179</v>
      </c>
      <c r="I40" s="132" t="s">
        <v>53</v>
      </c>
      <c r="J40" s="136" t="str">
        <f>IF(C30="No",H40,H39)</f>
        <v>Yes</v>
      </c>
    </row>
    <row r="41" spans="1:10" ht="15" thickTop="1" thickBot="1" x14ac:dyDescent="0.5">
      <c r="H41" s="147" t="s">
        <v>178</v>
      </c>
      <c r="I41" s="295" t="s">
        <v>54</v>
      </c>
      <c r="J41" s="133" t="str">
        <f>IF(C31="Yes",H41,H42)</f>
        <v>No</v>
      </c>
    </row>
    <row r="42" spans="1:10" ht="15" thickTop="1" thickBot="1" x14ac:dyDescent="0.5">
      <c r="H42" s="147" t="s">
        <v>179</v>
      </c>
      <c r="I42" s="295" t="s">
        <v>55</v>
      </c>
      <c r="J42" s="136" t="str">
        <f>IF(C31="No",H42,H41)</f>
        <v>Yes</v>
      </c>
    </row>
    <row r="43" spans="1:10" ht="15" thickTop="1" thickBot="1" x14ac:dyDescent="0.5">
      <c r="H43" s="147" t="s">
        <v>178</v>
      </c>
      <c r="I43" s="295" t="s">
        <v>56</v>
      </c>
      <c r="J43" s="133" t="str">
        <f>IF(C32="Yes",H43,H44)</f>
        <v>No</v>
      </c>
    </row>
    <row r="44" spans="1:10" ht="15" thickTop="1" thickBot="1" x14ac:dyDescent="0.5">
      <c r="H44" s="147" t="s">
        <v>179</v>
      </c>
      <c r="I44" s="295" t="s">
        <v>57</v>
      </c>
      <c r="J44" s="136" t="str">
        <f>IF(C32="No",H44,H43)</f>
        <v>Yes</v>
      </c>
    </row>
    <row r="45" spans="1:10" ht="14.65" thickTop="1" x14ac:dyDescent="0.45"/>
  </sheetData>
  <sheetProtection password="DA43" sheet="1" objects="1" scenarios="1"/>
  <conditionalFormatting sqref="C7">
    <cfRule type="notContainsBlanks" dxfId="25" priority="28">
      <formula>LEN(TRIM(C7))&gt;0</formula>
    </cfRule>
  </conditionalFormatting>
  <conditionalFormatting sqref="C13">
    <cfRule type="notContainsBlanks" dxfId="24" priority="27">
      <formula>LEN(TRIM(C13))&gt;0</formula>
    </cfRule>
  </conditionalFormatting>
  <conditionalFormatting sqref="C8">
    <cfRule type="notContainsBlanks" dxfId="23" priority="26">
      <formula>LEN(TRIM(C8))&gt;0</formula>
    </cfRule>
  </conditionalFormatting>
  <conditionalFormatting sqref="C9">
    <cfRule type="notContainsBlanks" dxfId="22" priority="25">
      <formula>LEN(TRIM(C9))&gt;0</formula>
    </cfRule>
  </conditionalFormatting>
  <conditionalFormatting sqref="C11">
    <cfRule type="notContainsBlanks" dxfId="21" priority="24">
      <formula>LEN(TRIM(C11))&gt;0</formula>
    </cfRule>
  </conditionalFormatting>
  <conditionalFormatting sqref="C25">
    <cfRule type="notContainsBlanks" dxfId="20" priority="23">
      <formula>LEN(TRIM(C25))&gt;0</formula>
    </cfRule>
  </conditionalFormatting>
  <conditionalFormatting sqref="C29">
    <cfRule type="notContainsBlanks" dxfId="19" priority="22">
      <formula>LEN(TRIM(C29))&gt;0</formula>
    </cfRule>
  </conditionalFormatting>
  <conditionalFormatting sqref="C30">
    <cfRule type="notContainsBlanks" dxfId="18" priority="21">
      <formula>LEN(TRIM(C30))&gt;0</formula>
    </cfRule>
  </conditionalFormatting>
  <conditionalFormatting sqref="C10 C20:C21">
    <cfRule type="notContainsBlanks" dxfId="17" priority="17">
      <formula>LEN(TRIM(C10))&gt;0</formula>
    </cfRule>
    <cfRule type="containsBlanks" dxfId="16" priority="18">
      <formula>LEN(TRIM(C10))=0</formula>
    </cfRule>
  </conditionalFormatting>
  <conditionalFormatting sqref="C12">
    <cfRule type="notContainsBlanks" dxfId="15" priority="15">
      <formula>LEN(TRIM(C12))&gt;0</formula>
    </cfRule>
    <cfRule type="containsBlanks" dxfId="14" priority="16">
      <formula>LEN(TRIM(C12))=0</formula>
    </cfRule>
  </conditionalFormatting>
  <conditionalFormatting sqref="C14:C19">
    <cfRule type="notContainsBlanks" dxfId="13" priority="13">
      <formula>LEN(TRIM(C14))&gt;0</formula>
    </cfRule>
    <cfRule type="containsBlanks" dxfId="12" priority="14">
      <formula>LEN(TRIM(C14))=0</formula>
    </cfRule>
  </conditionalFormatting>
  <conditionalFormatting sqref="C22">
    <cfRule type="notContainsBlanks" dxfId="11" priority="11">
      <formula>LEN(TRIM(C22))&gt;0</formula>
    </cfRule>
    <cfRule type="containsBlanks" dxfId="10" priority="12">
      <formula>LEN(TRIM(C22))=0</formula>
    </cfRule>
  </conditionalFormatting>
  <conditionalFormatting sqref="C23">
    <cfRule type="notContainsBlanks" dxfId="9" priority="9">
      <formula>LEN(TRIM(C23))&gt;0</formula>
    </cfRule>
    <cfRule type="containsBlanks" dxfId="8" priority="10">
      <formula>LEN(TRIM(C23))=0</formula>
    </cfRule>
  </conditionalFormatting>
  <conditionalFormatting sqref="C24">
    <cfRule type="notContainsBlanks" dxfId="7" priority="7">
      <formula>LEN(TRIM(C24))&gt;0</formula>
    </cfRule>
    <cfRule type="containsBlanks" dxfId="6" priority="8">
      <formula>LEN(TRIM(C24))=0</formula>
    </cfRule>
  </conditionalFormatting>
  <conditionalFormatting sqref="C27">
    <cfRule type="notContainsBlanks" dxfId="5" priority="4">
      <formula>LEN(TRIM(C27))&gt;0</formula>
    </cfRule>
  </conditionalFormatting>
  <conditionalFormatting sqref="C28">
    <cfRule type="notContainsBlanks" dxfId="4" priority="3">
      <formula>LEN(TRIM(C28))&gt;0</formula>
    </cfRule>
  </conditionalFormatting>
  <conditionalFormatting sqref="C31">
    <cfRule type="notContainsBlanks" dxfId="3" priority="20">
      <formula>LEN(TRIM(C31))&gt;0</formula>
    </cfRule>
  </conditionalFormatting>
  <conditionalFormatting sqref="C32">
    <cfRule type="notContainsBlanks" dxfId="2" priority="19">
      <formula>LEN(TRIM(C32))&gt;0</formula>
    </cfRule>
  </conditionalFormatting>
  <conditionalFormatting sqref="C26">
    <cfRule type="notContainsBlanks" dxfId="1" priority="5">
      <formula>LEN(TRIM(C26))&gt;0</formula>
    </cfRule>
    <cfRule type="containsBlanks" dxfId="0" priority="6">
      <formula>LEN(TRIM(C26))=0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ResetSheet14" altText="Reset Form">
                <anchor moveWithCells="1" sizeWithCells="1">
                  <from>
                    <xdr:col>5</xdr:col>
                    <xdr:colOff>5062538</xdr:colOff>
                    <xdr:row>1</xdr:row>
                    <xdr:rowOff>47625</xdr:rowOff>
                  </from>
                  <to>
                    <xdr:col>5</xdr:col>
                    <xdr:colOff>5872163</xdr:colOff>
                    <xdr:row>2</xdr:row>
                    <xdr:rowOff>71438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Lists!$A$2:$A$4</xm:f>
          </x14:formula1>
          <xm:sqref>C7:C9 C11 C25 C27:C32</xm:sqref>
        </x14:dataValidation>
        <x14:dataValidation type="list" showInputMessage="1" showErrorMessage="1">
          <x14:formula1>
            <xm:f>Lists!$H$3:$H$5</xm:f>
          </x14:formula1>
          <xm:sqref>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1:K84"/>
  <sheetViews>
    <sheetView workbookViewId="0">
      <pane ySplit="1" topLeftCell="A2" activePane="bottomLeft" state="frozen"/>
      <selection sqref="A1:XFD1048576"/>
      <selection pane="bottomLeft"/>
    </sheetView>
  </sheetViews>
  <sheetFormatPr defaultRowHeight="14.25" x14ac:dyDescent="0.45"/>
  <cols>
    <col min="1" max="1" width="27.86328125" style="201" customWidth="1"/>
    <col min="2" max="2" width="15.33203125" style="192" customWidth="1"/>
    <col min="3" max="3" width="12.46484375" style="192" customWidth="1"/>
    <col min="4" max="4" width="14" style="192" customWidth="1"/>
    <col min="5" max="5" width="17.86328125" style="195" customWidth="1"/>
    <col min="6" max="6" width="97.19921875" style="202" customWidth="1"/>
    <col min="7" max="7" width="24.86328125" style="205" customWidth="1"/>
    <col min="8" max="8" width="17.73046875" style="192" customWidth="1"/>
    <col min="9" max="9" width="9.06640625" style="173"/>
    <col min="10" max="10" width="6.9296875" style="193" customWidth="1"/>
    <col min="11" max="16384" width="9.06640625" style="193"/>
  </cols>
  <sheetData>
    <row r="1" spans="1:9" s="183" customFormat="1" x14ac:dyDescent="0.45">
      <c r="A1" s="179" t="s">
        <v>161</v>
      </c>
      <c r="B1" s="180" t="s">
        <v>162</v>
      </c>
      <c r="C1" s="180" t="s">
        <v>163</v>
      </c>
      <c r="D1" s="180" t="s">
        <v>164</v>
      </c>
      <c r="E1" s="181" t="s">
        <v>166</v>
      </c>
      <c r="F1" s="182" t="s">
        <v>100</v>
      </c>
      <c r="G1" s="203" t="s">
        <v>361</v>
      </c>
      <c r="H1" s="180"/>
      <c r="I1" s="180"/>
    </row>
    <row r="2" spans="1:9" s="187" customFormat="1" x14ac:dyDescent="0.45">
      <c r="A2" s="184" t="s">
        <v>5</v>
      </c>
      <c r="B2" s="178" t="s">
        <v>176</v>
      </c>
      <c r="C2" s="178"/>
      <c r="D2" s="178" t="s">
        <v>177</v>
      </c>
      <c r="E2" s="185" t="s">
        <v>355</v>
      </c>
      <c r="F2" s="186" t="s">
        <v>140</v>
      </c>
      <c r="G2" s="204" t="s">
        <v>355</v>
      </c>
      <c r="H2" s="178" t="s">
        <v>362</v>
      </c>
      <c r="I2" s="178" t="s">
        <v>363</v>
      </c>
    </row>
    <row r="3" spans="1:9" s="187" customFormat="1" x14ac:dyDescent="0.45">
      <c r="A3" s="184" t="s">
        <v>6</v>
      </c>
      <c r="B3" s="178" t="s">
        <v>176</v>
      </c>
      <c r="C3" s="178"/>
      <c r="D3" s="178" t="s">
        <v>177</v>
      </c>
      <c r="E3" s="185" t="s">
        <v>356</v>
      </c>
      <c r="F3" s="186" t="s">
        <v>141</v>
      </c>
      <c r="G3" s="204" t="s">
        <v>356</v>
      </c>
      <c r="H3" s="178" t="s">
        <v>362</v>
      </c>
      <c r="I3" s="178" t="s">
        <v>363</v>
      </c>
    </row>
    <row r="4" spans="1:9" s="187" customFormat="1" x14ac:dyDescent="0.45">
      <c r="A4" s="188" t="s">
        <v>7</v>
      </c>
      <c r="B4" s="189" t="s">
        <v>176</v>
      </c>
      <c r="C4" s="189"/>
      <c r="D4" s="189" t="s">
        <v>177</v>
      </c>
      <c r="E4" s="190" t="s">
        <v>354</v>
      </c>
      <c r="F4" s="191" t="s">
        <v>165</v>
      </c>
      <c r="G4" s="254" t="str">
        <f>RIGHT(General!I7,2)</f>
        <v>15</v>
      </c>
      <c r="H4" s="189" t="s">
        <v>362</v>
      </c>
      <c r="I4" s="189" t="s">
        <v>363</v>
      </c>
    </row>
    <row r="5" spans="1:9" s="187" customFormat="1" x14ac:dyDescent="0.45">
      <c r="A5" s="188" t="s">
        <v>8</v>
      </c>
      <c r="B5" s="189" t="s">
        <v>176</v>
      </c>
      <c r="C5" s="189"/>
      <c r="D5" s="189" t="s">
        <v>177</v>
      </c>
      <c r="E5" s="190" t="s">
        <v>167</v>
      </c>
      <c r="F5" s="191" t="s">
        <v>142</v>
      </c>
      <c r="G5" s="205" t="str">
        <f>UPPER(General!C5 &amp; " " &amp; LEFT(General!C6,1))</f>
        <v xml:space="preserve"> </v>
      </c>
      <c r="H5" s="189"/>
      <c r="I5" s="189"/>
    </row>
    <row r="6" spans="1:9" s="187" customFormat="1" x14ac:dyDescent="0.45">
      <c r="A6" s="188" t="s">
        <v>9</v>
      </c>
      <c r="B6" s="189" t="s">
        <v>176</v>
      </c>
      <c r="C6" s="189"/>
      <c r="D6" s="189" t="s">
        <v>177</v>
      </c>
      <c r="E6" s="190" t="s">
        <v>168</v>
      </c>
      <c r="F6" s="191" t="s">
        <v>143</v>
      </c>
      <c r="G6" s="205" t="str">
        <f>UPPER(General!C7)</f>
        <v/>
      </c>
      <c r="H6" s="189"/>
      <c r="I6" s="189"/>
    </row>
    <row r="7" spans="1:9" x14ac:dyDescent="0.45">
      <c r="A7" s="188" t="s">
        <v>10</v>
      </c>
      <c r="B7" s="189" t="s">
        <v>176</v>
      </c>
      <c r="C7" s="189"/>
      <c r="D7" s="189" t="s">
        <v>177</v>
      </c>
      <c r="E7" s="190" t="s">
        <v>169</v>
      </c>
      <c r="F7" s="191" t="s">
        <v>144</v>
      </c>
      <c r="G7" s="205">
        <f>General!C18</f>
        <v>0</v>
      </c>
    </row>
    <row r="8" spans="1:9" x14ac:dyDescent="0.45">
      <c r="A8" s="188" t="s">
        <v>11</v>
      </c>
      <c r="B8" s="189" t="s">
        <v>176</v>
      </c>
      <c r="C8" s="189"/>
      <c r="D8" s="189" t="s">
        <v>177</v>
      </c>
      <c r="E8" s="190" t="s">
        <v>170</v>
      </c>
      <c r="F8" s="191" t="s">
        <v>145</v>
      </c>
      <c r="G8" s="205" t="str">
        <f>IF(UPPER(General!C8)&lt;&gt;"",UPPER(General!C8) &amp; " " &amp; UPPER(General!C9),UPPER(General!C9))</f>
        <v/>
      </c>
    </row>
    <row r="9" spans="1:9" x14ac:dyDescent="0.45">
      <c r="A9" s="184" t="s">
        <v>12</v>
      </c>
      <c r="B9" s="178" t="s">
        <v>175</v>
      </c>
      <c r="C9" s="178"/>
      <c r="D9" s="178" t="s">
        <v>177</v>
      </c>
      <c r="E9" s="185">
        <v>1</v>
      </c>
      <c r="F9" s="186" t="s">
        <v>147</v>
      </c>
      <c r="G9" s="177">
        <v>1</v>
      </c>
      <c r="H9" s="178" t="s">
        <v>362</v>
      </c>
      <c r="I9" s="178" t="s">
        <v>363</v>
      </c>
    </row>
    <row r="10" spans="1:9" x14ac:dyDescent="0.45">
      <c r="A10" s="184" t="s">
        <v>406</v>
      </c>
      <c r="B10" s="178" t="s">
        <v>408</v>
      </c>
      <c r="C10" s="178" t="s">
        <v>178</v>
      </c>
      <c r="D10" s="178" t="s">
        <v>177</v>
      </c>
      <c r="E10" s="185" t="s">
        <v>409</v>
      </c>
      <c r="F10" s="252" t="s">
        <v>410</v>
      </c>
      <c r="G10" s="177" t="s">
        <v>178</v>
      </c>
      <c r="H10" s="178" t="s">
        <v>362</v>
      </c>
      <c r="I10" s="178" t="s">
        <v>363</v>
      </c>
    </row>
    <row r="11" spans="1:9" x14ac:dyDescent="0.45">
      <c r="A11" s="188" t="s">
        <v>13</v>
      </c>
      <c r="B11" s="189" t="s">
        <v>176</v>
      </c>
      <c r="C11" s="189"/>
      <c r="D11" s="189" t="s">
        <v>177</v>
      </c>
      <c r="E11" s="190" t="s">
        <v>173</v>
      </c>
      <c r="F11" s="191" t="s">
        <v>146</v>
      </c>
      <c r="G11" s="205" t="str">
        <f>UPPER(General!C10 &amp; ", " &amp; General!C11 &amp; ", " &amp; General!C12 &amp; ", " &amp; General!C13 &amp; ", " &amp; General!C14)</f>
        <v xml:space="preserve">, , , , </v>
      </c>
    </row>
    <row r="12" spans="1:9" x14ac:dyDescent="0.45">
      <c r="A12" s="188" t="s">
        <v>14</v>
      </c>
      <c r="B12" s="189" t="s">
        <v>176</v>
      </c>
      <c r="C12" s="189"/>
      <c r="D12" s="189" t="s">
        <v>177</v>
      </c>
      <c r="E12" s="190" t="s">
        <v>172</v>
      </c>
      <c r="F12" s="191" t="s">
        <v>149</v>
      </c>
      <c r="G12" s="205" t="str">
        <f>UPPER(General!C13)</f>
        <v/>
      </c>
    </row>
    <row r="13" spans="1:9" x14ac:dyDescent="0.45">
      <c r="A13" s="188" t="s">
        <v>15</v>
      </c>
      <c r="B13" s="189" t="s">
        <v>176</v>
      </c>
      <c r="C13" s="189"/>
      <c r="D13" s="189" t="s">
        <v>177</v>
      </c>
      <c r="E13" s="190" t="s">
        <v>173</v>
      </c>
      <c r="F13" s="191" t="s">
        <v>150</v>
      </c>
      <c r="G13" s="205" t="str">
        <f>UPPER(General!C12)</f>
        <v/>
      </c>
    </row>
    <row r="14" spans="1:9" x14ac:dyDescent="0.45">
      <c r="A14" s="188" t="s">
        <v>16</v>
      </c>
      <c r="B14" s="189" t="s">
        <v>176</v>
      </c>
      <c r="C14" s="189"/>
      <c r="D14" s="189" t="s">
        <v>177</v>
      </c>
      <c r="E14" s="190" t="s">
        <v>174</v>
      </c>
      <c r="F14" s="191" t="s">
        <v>151</v>
      </c>
      <c r="G14" s="205" t="str">
        <f>UPPER(General!C14)</f>
        <v/>
      </c>
    </row>
    <row r="15" spans="1:9" x14ac:dyDescent="0.45">
      <c r="A15" s="184" t="s">
        <v>17</v>
      </c>
      <c r="B15" s="178" t="s">
        <v>175</v>
      </c>
      <c r="C15" s="178">
        <v>2</v>
      </c>
      <c r="D15" s="178">
        <v>0</v>
      </c>
      <c r="E15" s="185">
        <v>2</v>
      </c>
      <c r="F15" s="186" t="s">
        <v>328</v>
      </c>
      <c r="G15" s="177">
        <v>2</v>
      </c>
      <c r="H15" s="178" t="s">
        <v>362</v>
      </c>
      <c r="I15" s="178" t="s">
        <v>363</v>
      </c>
    </row>
    <row r="16" spans="1:9" x14ac:dyDescent="0.45">
      <c r="A16" s="184" t="s">
        <v>405</v>
      </c>
      <c r="B16" s="178" t="s">
        <v>411</v>
      </c>
      <c r="C16" s="178"/>
      <c r="D16" s="178" t="s">
        <v>177</v>
      </c>
      <c r="E16" s="185">
        <v>1</v>
      </c>
      <c r="F16" s="186" t="s">
        <v>412</v>
      </c>
      <c r="G16" s="177">
        <v>1</v>
      </c>
      <c r="H16" s="178" t="s">
        <v>362</v>
      </c>
      <c r="I16" s="178" t="s">
        <v>363</v>
      </c>
    </row>
    <row r="17" spans="1:10" x14ac:dyDescent="0.45">
      <c r="A17" s="184" t="s">
        <v>407</v>
      </c>
      <c r="B17" s="178" t="s">
        <v>411</v>
      </c>
      <c r="C17" s="178"/>
      <c r="D17" s="178" t="s">
        <v>177</v>
      </c>
      <c r="E17" s="185">
        <v>1</v>
      </c>
      <c r="F17" s="186" t="s">
        <v>413</v>
      </c>
      <c r="G17" s="177">
        <v>1</v>
      </c>
      <c r="H17" s="178" t="s">
        <v>362</v>
      </c>
      <c r="I17" s="178" t="s">
        <v>363</v>
      </c>
      <c r="J17" s="167"/>
    </row>
    <row r="18" spans="1:10" x14ac:dyDescent="0.45">
      <c r="A18" s="188" t="s">
        <v>397</v>
      </c>
      <c r="B18" s="148" t="s">
        <v>176</v>
      </c>
      <c r="C18" s="148"/>
      <c r="D18" s="148" t="s">
        <v>177</v>
      </c>
      <c r="E18" s="148"/>
      <c r="F18" s="162" t="s">
        <v>333</v>
      </c>
      <c r="G18" s="85">
        <f>ROUNDDOWN(Bank_Accounts_2015!$G$2,0)</f>
        <v>0</v>
      </c>
      <c r="H18" s="178"/>
      <c r="I18" s="178"/>
    </row>
    <row r="19" spans="1:10" x14ac:dyDescent="0.45">
      <c r="A19" s="188" t="s">
        <v>398</v>
      </c>
      <c r="B19" s="148" t="s">
        <v>176</v>
      </c>
      <c r="C19" s="148"/>
      <c r="D19" s="148" t="s">
        <v>177</v>
      </c>
      <c r="E19" s="148"/>
      <c r="F19" s="162" t="s">
        <v>334</v>
      </c>
      <c r="G19" s="85" t="str">
        <f>RIGHT(ROUND(Bank_Accounts_2015!$G$2-TRUNC(Bank_Accounts_2015!$G$2),2),2)</f>
        <v>0</v>
      </c>
      <c r="H19" s="178"/>
      <c r="I19" s="178"/>
    </row>
    <row r="20" spans="1:10" x14ac:dyDescent="0.45">
      <c r="A20" s="188" t="s">
        <v>338</v>
      </c>
      <c r="B20" s="178" t="s">
        <v>176</v>
      </c>
      <c r="C20" s="178"/>
      <c r="D20" s="178" t="s">
        <v>177</v>
      </c>
      <c r="E20" s="178"/>
      <c r="F20" s="186" t="s">
        <v>336</v>
      </c>
      <c r="G20" s="253">
        <f>ROUNDDOWN(Bank_Accounts_2015!$G$2,0)</f>
        <v>0</v>
      </c>
      <c r="H20" s="178"/>
      <c r="I20" s="178"/>
    </row>
    <row r="21" spans="1:10" x14ac:dyDescent="0.45">
      <c r="A21" s="188" t="s">
        <v>339</v>
      </c>
      <c r="B21" s="178" t="s">
        <v>176</v>
      </c>
      <c r="C21" s="178"/>
      <c r="D21" s="178" t="s">
        <v>177</v>
      </c>
      <c r="E21" s="178"/>
      <c r="F21" s="186" t="s">
        <v>337</v>
      </c>
      <c r="G21" s="253" t="str">
        <f>RIGHT(ROUND(Bank_Accounts_2015!$G$2-TRUNC(Bank_Accounts_2015!$G$2),2),2)</f>
        <v>0</v>
      </c>
      <c r="H21" s="178"/>
      <c r="I21" s="178"/>
    </row>
    <row r="22" spans="1:10" x14ac:dyDescent="0.45">
      <c r="A22" s="188" t="s">
        <v>340</v>
      </c>
      <c r="B22" s="178" t="s">
        <v>176</v>
      </c>
      <c r="C22" s="178"/>
      <c r="D22" s="178" t="s">
        <v>177</v>
      </c>
      <c r="E22" s="178"/>
      <c r="F22" s="186" t="s">
        <v>342</v>
      </c>
      <c r="G22" s="253">
        <f>ROUNDDOWN(Bank_Accounts_2015!$G$2,0)</f>
        <v>0</v>
      </c>
      <c r="H22" s="178"/>
      <c r="I22" s="178"/>
    </row>
    <row r="23" spans="1:10" x14ac:dyDescent="0.45">
      <c r="A23" s="188" t="s">
        <v>341</v>
      </c>
      <c r="B23" s="178" t="s">
        <v>176</v>
      </c>
      <c r="C23" s="178"/>
      <c r="D23" s="178" t="s">
        <v>177</v>
      </c>
      <c r="E23" s="178"/>
      <c r="F23" s="186" t="s">
        <v>343</v>
      </c>
      <c r="G23" s="253" t="str">
        <f>RIGHT(ROUND(Bank_Accounts_2015!$G$2-TRUNC(Bank_Accounts_2015!$G$2),2),2)</f>
        <v>0</v>
      </c>
      <c r="H23" s="178"/>
      <c r="I23" s="178"/>
    </row>
    <row r="24" spans="1:10" x14ac:dyDescent="0.45">
      <c r="A24" s="188" t="s">
        <v>357</v>
      </c>
      <c r="B24" s="178" t="s">
        <v>176</v>
      </c>
      <c r="C24" s="178"/>
      <c r="D24" s="178" t="s">
        <v>177</v>
      </c>
      <c r="E24" s="178"/>
      <c r="F24" s="186" t="s">
        <v>359</v>
      </c>
      <c r="G24" s="253">
        <f>ROUNDDOWN(Bank_Accounts_2015!$G$2,0)</f>
        <v>0</v>
      </c>
      <c r="H24" s="178" t="s">
        <v>362</v>
      </c>
      <c r="I24" s="178" t="s">
        <v>363</v>
      </c>
    </row>
    <row r="25" spans="1:10" x14ac:dyDescent="0.45">
      <c r="A25" s="188" t="s">
        <v>358</v>
      </c>
      <c r="B25" s="178" t="s">
        <v>176</v>
      </c>
      <c r="C25" s="178"/>
      <c r="D25" s="178" t="s">
        <v>177</v>
      </c>
      <c r="E25" s="178"/>
      <c r="F25" s="186" t="s">
        <v>360</v>
      </c>
      <c r="G25" s="253" t="str">
        <f>RIGHT(ROUND(Bank_Accounts_2015!$G$2-TRUNC(Bank_Accounts_2015!$G$2),2),2)</f>
        <v>0</v>
      </c>
      <c r="H25" s="178" t="s">
        <v>362</v>
      </c>
      <c r="I25" s="178" t="s">
        <v>363</v>
      </c>
    </row>
    <row r="26" spans="1:10" x14ac:dyDescent="0.45">
      <c r="A26" s="184" t="s">
        <v>18</v>
      </c>
      <c r="B26" s="178" t="s">
        <v>176</v>
      </c>
      <c r="C26" s="178"/>
      <c r="D26" s="178" t="s">
        <v>177</v>
      </c>
      <c r="E26" s="178" t="s">
        <v>186</v>
      </c>
      <c r="F26" s="186" t="s">
        <v>105</v>
      </c>
      <c r="G26" s="177" t="s">
        <v>186</v>
      </c>
      <c r="H26" s="178" t="s">
        <v>362</v>
      </c>
      <c r="I26" s="178" t="s">
        <v>363</v>
      </c>
    </row>
    <row r="27" spans="1:10" x14ac:dyDescent="0.45">
      <c r="A27" s="188" t="s">
        <v>19</v>
      </c>
      <c r="B27" s="189" t="s">
        <v>176</v>
      </c>
      <c r="C27" s="189"/>
      <c r="D27" s="189" t="s">
        <v>177</v>
      </c>
      <c r="E27" s="189"/>
      <c r="F27" s="191" t="s">
        <v>344</v>
      </c>
      <c r="G27" s="253">
        <f>ROUNDDOWN(Bank_Accounts_2015!$G$2,0)</f>
        <v>0</v>
      </c>
    </row>
    <row r="28" spans="1:10" x14ac:dyDescent="0.45">
      <c r="A28" s="188" t="s">
        <v>20</v>
      </c>
      <c r="B28" s="189" t="s">
        <v>176</v>
      </c>
      <c r="C28" s="189"/>
      <c r="D28" s="189" t="s">
        <v>177</v>
      </c>
      <c r="E28" s="189"/>
      <c r="F28" s="191" t="s">
        <v>345</v>
      </c>
      <c r="G28" s="253" t="str">
        <f>RIGHT(ROUND(Bank_Accounts_2015!$G$2-TRUNC(Bank_Accounts_2015!$G$2),2),2)</f>
        <v>0</v>
      </c>
    </row>
    <row r="29" spans="1:10" x14ac:dyDescent="0.45">
      <c r="A29" s="188" t="s">
        <v>21</v>
      </c>
      <c r="B29" s="189" t="s">
        <v>176</v>
      </c>
      <c r="C29" s="189"/>
      <c r="D29" s="189" t="s">
        <v>177</v>
      </c>
      <c r="E29" s="189"/>
      <c r="F29" s="191" t="s">
        <v>346</v>
      </c>
      <c r="G29" s="253">
        <f>ROUNDDOWN(Bank_Accounts_2015!$G$2,0)</f>
        <v>0</v>
      </c>
    </row>
    <row r="30" spans="1:10" x14ac:dyDescent="0.45">
      <c r="A30" s="188" t="s">
        <v>22</v>
      </c>
      <c r="B30" s="189" t="s">
        <v>176</v>
      </c>
      <c r="C30" s="189"/>
      <c r="D30" s="189" t="s">
        <v>177</v>
      </c>
      <c r="E30" s="189"/>
      <c r="F30" s="191" t="s">
        <v>347</v>
      </c>
      <c r="G30" s="253" t="str">
        <f>RIGHT(ROUND(Bank_Accounts_2015!$G$2-TRUNC(Bank_Accounts_2015!$G$2),2),2)</f>
        <v>0</v>
      </c>
    </row>
    <row r="31" spans="1:10" x14ac:dyDescent="0.45">
      <c r="A31" s="184" t="s">
        <v>23</v>
      </c>
      <c r="B31" s="178" t="s">
        <v>176</v>
      </c>
      <c r="C31" s="178"/>
      <c r="D31" s="178" t="s">
        <v>177</v>
      </c>
      <c r="E31" s="178" t="s">
        <v>187</v>
      </c>
      <c r="F31" s="186" t="s">
        <v>348</v>
      </c>
      <c r="G31" s="204">
        <v>0</v>
      </c>
      <c r="H31" s="178" t="s">
        <v>362</v>
      </c>
      <c r="I31" s="178" t="s">
        <v>363</v>
      </c>
    </row>
    <row r="32" spans="1:10" x14ac:dyDescent="0.45">
      <c r="A32" s="184" t="s">
        <v>24</v>
      </c>
      <c r="B32" s="178" t="s">
        <v>176</v>
      </c>
      <c r="C32" s="178"/>
      <c r="D32" s="178" t="s">
        <v>177</v>
      </c>
      <c r="E32" s="178" t="s">
        <v>188</v>
      </c>
      <c r="F32" s="186" t="s">
        <v>350</v>
      </c>
      <c r="G32" s="204" t="s">
        <v>188</v>
      </c>
      <c r="H32" s="178" t="s">
        <v>362</v>
      </c>
      <c r="I32" s="178" t="s">
        <v>363</v>
      </c>
    </row>
    <row r="33" spans="1:11" x14ac:dyDescent="0.45">
      <c r="A33" s="184" t="s">
        <v>25</v>
      </c>
      <c r="B33" s="178" t="s">
        <v>176</v>
      </c>
      <c r="C33" s="178"/>
      <c r="D33" s="178" t="s">
        <v>177</v>
      </c>
      <c r="E33" s="178" t="s">
        <v>187</v>
      </c>
      <c r="F33" s="186" t="s">
        <v>349</v>
      </c>
      <c r="G33" s="204">
        <v>0</v>
      </c>
      <c r="H33" s="178" t="s">
        <v>362</v>
      </c>
      <c r="I33" s="178" t="s">
        <v>363</v>
      </c>
    </row>
    <row r="34" spans="1:11" x14ac:dyDescent="0.45">
      <c r="A34" s="184" t="s">
        <v>26</v>
      </c>
      <c r="B34" s="178" t="s">
        <v>176</v>
      </c>
      <c r="C34" s="178"/>
      <c r="D34" s="178" t="s">
        <v>177</v>
      </c>
      <c r="E34" s="178" t="s">
        <v>188</v>
      </c>
      <c r="F34" s="186" t="s">
        <v>351</v>
      </c>
      <c r="G34" s="204" t="s">
        <v>188</v>
      </c>
      <c r="H34" s="178" t="s">
        <v>362</v>
      </c>
      <c r="I34" s="178" t="s">
        <v>363</v>
      </c>
    </row>
    <row r="35" spans="1:11" x14ac:dyDescent="0.45">
      <c r="A35" s="188" t="s">
        <v>27</v>
      </c>
      <c r="B35" s="189" t="s">
        <v>176</v>
      </c>
      <c r="C35" s="189"/>
      <c r="D35" s="189" t="s">
        <v>177</v>
      </c>
      <c r="E35" s="189" t="s">
        <v>172</v>
      </c>
      <c r="F35" s="191" t="s">
        <v>106</v>
      </c>
      <c r="G35" s="205" t="str">
        <f>UPPER(General!C19)</f>
        <v/>
      </c>
    </row>
    <row r="36" spans="1:11" x14ac:dyDescent="0.45">
      <c r="A36" s="188" t="s">
        <v>28</v>
      </c>
      <c r="B36" s="189" t="s">
        <v>176</v>
      </c>
      <c r="C36" s="189"/>
      <c r="D36" s="189" t="s">
        <v>177</v>
      </c>
      <c r="E36" s="189" t="s">
        <v>172</v>
      </c>
      <c r="F36" s="191" t="s">
        <v>107</v>
      </c>
      <c r="G36" s="205" t="str">
        <f>UPPER(General!C20)</f>
        <v/>
      </c>
      <c r="I36" s="192"/>
      <c r="J36" s="196"/>
    </row>
    <row r="37" spans="1:11" s="196" customFormat="1" x14ac:dyDescent="0.45">
      <c r="A37" s="197" t="s">
        <v>29</v>
      </c>
      <c r="B37" s="198" t="s">
        <v>171</v>
      </c>
      <c r="C37" s="198" t="s">
        <v>178</v>
      </c>
      <c r="D37" s="198" t="s">
        <v>177</v>
      </c>
      <c r="E37" s="199" t="s">
        <v>177</v>
      </c>
      <c r="F37" s="200" t="s">
        <v>108</v>
      </c>
      <c r="G37" s="205" t="str">
        <f>IF(Form_1040NR_2015!J7="","",Form_1040NR_2015!J7)</f>
        <v>No</v>
      </c>
      <c r="H37" s="198"/>
      <c r="I37" s="198"/>
      <c r="J37" s="116"/>
      <c r="K37" s="116"/>
    </row>
    <row r="38" spans="1:11" x14ac:dyDescent="0.45">
      <c r="A38" s="188" t="s">
        <v>30</v>
      </c>
      <c r="B38" s="189" t="s">
        <v>171</v>
      </c>
      <c r="C38" s="189" t="s">
        <v>179</v>
      </c>
      <c r="D38" s="189" t="s">
        <v>177</v>
      </c>
      <c r="E38" s="190" t="s">
        <v>180</v>
      </c>
      <c r="F38" s="191" t="s">
        <v>109</v>
      </c>
      <c r="G38" s="205" t="str">
        <f>IF(Form_1040NR_2015!J8="","",Form_1040NR_2015!J8)</f>
        <v>Yes</v>
      </c>
      <c r="I38" s="192"/>
      <c r="J38" s="116"/>
    </row>
    <row r="39" spans="1:11" s="196" customFormat="1" x14ac:dyDescent="0.45">
      <c r="A39" s="197" t="s">
        <v>31</v>
      </c>
      <c r="B39" s="198" t="s">
        <v>171</v>
      </c>
      <c r="C39" s="198" t="s">
        <v>178</v>
      </c>
      <c r="D39" s="198" t="s">
        <v>177</v>
      </c>
      <c r="E39" s="199" t="s">
        <v>177</v>
      </c>
      <c r="F39" s="200" t="s">
        <v>110</v>
      </c>
      <c r="G39" s="205" t="str">
        <f>IF(Form_1040NR_2015!J9="","",Form_1040NR_2015!J9)</f>
        <v>No</v>
      </c>
      <c r="H39" s="198"/>
      <c r="I39" s="198"/>
      <c r="J39" s="116"/>
    </row>
    <row r="40" spans="1:11" x14ac:dyDescent="0.45">
      <c r="A40" s="188" t="s">
        <v>32</v>
      </c>
      <c r="B40" s="189" t="s">
        <v>171</v>
      </c>
      <c r="C40" s="189" t="s">
        <v>179</v>
      </c>
      <c r="D40" s="189" t="s">
        <v>177</v>
      </c>
      <c r="E40" s="190" t="s">
        <v>180</v>
      </c>
      <c r="F40" s="191" t="s">
        <v>111</v>
      </c>
      <c r="G40" s="205" t="str">
        <f>IF(Form_1040NR_2015!J10="","",Form_1040NR_2015!J10)</f>
        <v>Yes</v>
      </c>
      <c r="I40" s="192"/>
      <c r="J40" s="116"/>
    </row>
    <row r="41" spans="1:11" x14ac:dyDescent="0.45">
      <c r="A41" s="188" t="s">
        <v>33</v>
      </c>
      <c r="B41" s="189" t="s">
        <v>171</v>
      </c>
      <c r="C41" s="189" t="s">
        <v>178</v>
      </c>
      <c r="D41" s="189" t="s">
        <v>177</v>
      </c>
      <c r="E41" s="190" t="s">
        <v>177</v>
      </c>
      <c r="F41" s="191" t="s">
        <v>112</v>
      </c>
      <c r="G41" s="205" t="str">
        <f>IF(Form_1040NR_2015!J11="","",Form_1040NR_2015!J11)</f>
        <v>No</v>
      </c>
      <c r="I41" s="192"/>
      <c r="J41" s="116"/>
    </row>
    <row r="42" spans="1:11" x14ac:dyDescent="0.45">
      <c r="A42" s="188" t="s">
        <v>34</v>
      </c>
      <c r="B42" s="189" t="s">
        <v>171</v>
      </c>
      <c r="C42" s="189" t="s">
        <v>179</v>
      </c>
      <c r="D42" s="189" t="s">
        <v>177</v>
      </c>
      <c r="E42" s="190" t="s">
        <v>180</v>
      </c>
      <c r="F42" s="191" t="s">
        <v>113</v>
      </c>
      <c r="G42" s="205" t="str">
        <f>IF(Form_1040NR_2015!J12="","",Form_1040NR_2015!J12)</f>
        <v>Yes</v>
      </c>
      <c r="I42" s="192"/>
      <c r="J42" s="116"/>
    </row>
    <row r="43" spans="1:11" ht="28.5" x14ac:dyDescent="0.45">
      <c r="A43" s="188" t="s">
        <v>35</v>
      </c>
      <c r="B43" s="189" t="s">
        <v>176</v>
      </c>
      <c r="C43" s="189"/>
      <c r="D43" s="189" t="s">
        <v>177</v>
      </c>
      <c r="E43" s="190"/>
      <c r="F43" s="191" t="s">
        <v>114</v>
      </c>
      <c r="G43" s="205" t="str">
        <f>IF(Form_1040NR_2015!J13="","",Form_1040NR_2015!J13)</f>
        <v/>
      </c>
      <c r="I43" s="192"/>
      <c r="J43" s="116"/>
    </row>
    <row r="44" spans="1:11" x14ac:dyDescent="0.45">
      <c r="A44" s="188" t="s">
        <v>36</v>
      </c>
      <c r="B44" s="189" t="s">
        <v>171</v>
      </c>
      <c r="C44" s="189" t="s">
        <v>178</v>
      </c>
      <c r="D44" s="189" t="s">
        <v>177</v>
      </c>
      <c r="E44" s="190" t="s">
        <v>177</v>
      </c>
      <c r="F44" s="191" t="s">
        <v>115</v>
      </c>
      <c r="G44" s="205" t="str">
        <f>IF(Form_1040NR_2015!J14="","",Form_1040NR_2015!J14)</f>
        <v>No</v>
      </c>
      <c r="J44" s="116"/>
    </row>
    <row r="45" spans="1:11" x14ac:dyDescent="0.45">
      <c r="A45" s="188" t="s">
        <v>37</v>
      </c>
      <c r="B45" s="189" t="s">
        <v>171</v>
      </c>
      <c r="C45" s="189" t="s">
        <v>179</v>
      </c>
      <c r="D45" s="189" t="s">
        <v>177</v>
      </c>
      <c r="E45" s="190" t="s">
        <v>180</v>
      </c>
      <c r="F45" s="191" t="s">
        <v>117</v>
      </c>
      <c r="G45" s="205" t="str">
        <f>IF(Form_1040NR_2015!J15="","",Form_1040NR_2015!J15)</f>
        <v>Yes</v>
      </c>
      <c r="J45" s="116"/>
    </row>
    <row r="46" spans="1:11" x14ac:dyDescent="0.45">
      <c r="A46" s="188" t="s">
        <v>38</v>
      </c>
      <c r="B46" s="189" t="s">
        <v>176</v>
      </c>
      <c r="C46" s="189"/>
      <c r="D46" s="189" t="s">
        <v>177</v>
      </c>
      <c r="E46" s="190"/>
      <c r="F46" s="191" t="s">
        <v>116</v>
      </c>
      <c r="G46" s="205" t="str">
        <f>IF(Form_1040NR_2015!J16="","",Form_1040NR_2015!J16)</f>
        <v/>
      </c>
      <c r="J46" s="116"/>
    </row>
    <row r="47" spans="1:11" ht="28.5" x14ac:dyDescent="0.45">
      <c r="A47" s="188" t="s">
        <v>39</v>
      </c>
      <c r="B47" s="189" t="s">
        <v>171</v>
      </c>
      <c r="C47" s="189" t="s">
        <v>178</v>
      </c>
      <c r="D47" s="189" t="s">
        <v>177</v>
      </c>
      <c r="E47" s="190" t="s">
        <v>177</v>
      </c>
      <c r="F47" s="191" t="s">
        <v>118</v>
      </c>
      <c r="G47" s="205" t="str">
        <f>IF(Form_1040NR_2015!J17="","",Form_1040NR_2015!J17)</f>
        <v/>
      </c>
      <c r="J47" s="116"/>
    </row>
    <row r="48" spans="1:11" ht="28.5" x14ac:dyDescent="0.45">
      <c r="A48" s="188" t="s">
        <v>40</v>
      </c>
      <c r="B48" s="189" t="s">
        <v>171</v>
      </c>
      <c r="C48" s="189" t="s">
        <v>179</v>
      </c>
      <c r="D48" s="189" t="s">
        <v>177</v>
      </c>
      <c r="E48" s="190" t="s">
        <v>177</v>
      </c>
      <c r="F48" s="191" t="s">
        <v>119</v>
      </c>
      <c r="G48" s="205" t="str">
        <f>IF(Form_1040NR_2015!J18="","",Form_1040NR_2015!J18)</f>
        <v/>
      </c>
      <c r="J48" s="116"/>
    </row>
    <row r="49" spans="1:10" x14ac:dyDescent="0.45">
      <c r="A49" s="188" t="s">
        <v>41</v>
      </c>
      <c r="B49" s="189" t="s">
        <v>176</v>
      </c>
      <c r="C49" s="189" t="s">
        <v>181</v>
      </c>
      <c r="D49" s="189" t="s">
        <v>177</v>
      </c>
      <c r="E49" s="190" t="s">
        <v>182</v>
      </c>
      <c r="F49" s="191" t="s">
        <v>120</v>
      </c>
      <c r="G49" s="205" t="str">
        <f>IF(Form_1040NR_2015!J19="","",Form_1040NR_2015!J19)</f>
        <v/>
      </c>
      <c r="H49" s="193"/>
      <c r="I49" s="193"/>
      <c r="J49" s="116"/>
    </row>
    <row r="50" spans="1:10" x14ac:dyDescent="0.45">
      <c r="A50" s="188" t="s">
        <v>42</v>
      </c>
      <c r="B50" s="189" t="s">
        <v>176</v>
      </c>
      <c r="C50" s="189" t="s">
        <v>181</v>
      </c>
      <c r="D50" s="189" t="s">
        <v>177</v>
      </c>
      <c r="E50" s="190" t="s">
        <v>183</v>
      </c>
      <c r="F50" s="191" t="s">
        <v>121</v>
      </c>
      <c r="G50" s="205" t="str">
        <f>IF(Form_1040NR_2015!J20="","",Form_1040NR_2015!J20)</f>
        <v/>
      </c>
      <c r="H50" s="193"/>
      <c r="I50" s="193"/>
      <c r="J50" s="116"/>
    </row>
    <row r="51" spans="1:10" x14ac:dyDescent="0.45">
      <c r="A51" s="188" t="s">
        <v>157</v>
      </c>
      <c r="B51" s="189" t="s">
        <v>176</v>
      </c>
      <c r="C51" s="189" t="s">
        <v>181</v>
      </c>
      <c r="D51" s="189" t="s">
        <v>177</v>
      </c>
      <c r="E51" s="190"/>
      <c r="F51" s="191" t="s">
        <v>120</v>
      </c>
      <c r="G51" s="205" t="str">
        <f>IF(Form_1040NR_2015!J21="","",Form_1040NR_2015!J21)</f>
        <v/>
      </c>
      <c r="H51" s="193"/>
      <c r="I51" s="193"/>
      <c r="J51" s="116"/>
    </row>
    <row r="52" spans="1:10" x14ac:dyDescent="0.45">
      <c r="A52" s="188" t="s">
        <v>158</v>
      </c>
      <c r="B52" s="189" t="s">
        <v>176</v>
      </c>
      <c r="C52" s="189" t="s">
        <v>181</v>
      </c>
      <c r="D52" s="189" t="s">
        <v>177</v>
      </c>
      <c r="E52" s="190"/>
      <c r="F52" s="191" t="s">
        <v>121</v>
      </c>
      <c r="G52" s="205" t="str">
        <f>IF(Form_1040NR_2015!J22="","",Form_1040NR_2015!J22)</f>
        <v/>
      </c>
      <c r="H52" s="193"/>
      <c r="I52" s="193"/>
      <c r="J52" s="116"/>
    </row>
    <row r="53" spans="1:10" x14ac:dyDescent="0.45">
      <c r="A53" s="188" t="s">
        <v>159</v>
      </c>
      <c r="B53" s="189" t="s">
        <v>176</v>
      </c>
      <c r="C53" s="189" t="s">
        <v>181</v>
      </c>
      <c r="D53" s="189" t="s">
        <v>177</v>
      </c>
      <c r="E53" s="190"/>
      <c r="F53" s="191" t="s">
        <v>120</v>
      </c>
      <c r="G53" s="205" t="str">
        <f>IF(Form_1040NR_2015!J23="","",Form_1040NR_2015!J23)</f>
        <v/>
      </c>
      <c r="H53" s="193"/>
      <c r="I53" s="193"/>
      <c r="J53" s="116"/>
    </row>
    <row r="54" spans="1:10" x14ac:dyDescent="0.45">
      <c r="A54" s="188" t="s">
        <v>160</v>
      </c>
      <c r="B54" s="189" t="s">
        <v>176</v>
      </c>
      <c r="C54" s="189" t="s">
        <v>181</v>
      </c>
      <c r="D54" s="189" t="s">
        <v>177</v>
      </c>
      <c r="E54" s="190"/>
      <c r="F54" s="191" t="s">
        <v>121</v>
      </c>
      <c r="G54" s="205" t="str">
        <f>IF(Form_1040NR_2015!J24="","",Form_1040NR_2015!J24)</f>
        <v/>
      </c>
      <c r="H54" s="193"/>
      <c r="I54" s="193"/>
      <c r="J54" s="116"/>
    </row>
    <row r="55" spans="1:10" x14ac:dyDescent="0.45">
      <c r="A55" s="188" t="s">
        <v>364</v>
      </c>
      <c r="B55" s="189" t="s">
        <v>176</v>
      </c>
      <c r="C55" s="189" t="s">
        <v>181</v>
      </c>
      <c r="D55" s="189" t="s">
        <v>177</v>
      </c>
      <c r="E55" s="190"/>
      <c r="F55" s="191" t="s">
        <v>120</v>
      </c>
      <c r="G55" s="205" t="str">
        <f>IF(Form_1040NR_2015!J25="","",Form_1040NR_2015!J25)</f>
        <v/>
      </c>
      <c r="H55" s="193"/>
      <c r="I55" s="193"/>
      <c r="J55" s="116"/>
    </row>
    <row r="56" spans="1:10" x14ac:dyDescent="0.45">
      <c r="A56" s="188" t="s">
        <v>365</v>
      </c>
      <c r="B56" s="189" t="s">
        <v>176</v>
      </c>
      <c r="C56" s="189" t="s">
        <v>181</v>
      </c>
      <c r="D56" s="189" t="s">
        <v>177</v>
      </c>
      <c r="E56" s="190"/>
      <c r="F56" s="191" t="s">
        <v>121</v>
      </c>
      <c r="G56" s="205" t="str">
        <f>IF(Form_1040NR_2015!J26="","",Form_1040NR_2015!J26)</f>
        <v/>
      </c>
      <c r="H56" s="193"/>
      <c r="I56" s="193"/>
      <c r="J56" s="116"/>
    </row>
    <row r="57" spans="1:10" ht="28.5" x14ac:dyDescent="0.45">
      <c r="A57" s="188" t="s">
        <v>402</v>
      </c>
      <c r="B57" s="189" t="s">
        <v>176</v>
      </c>
      <c r="C57" s="189" t="s">
        <v>181</v>
      </c>
      <c r="D57" s="189" t="s">
        <v>177</v>
      </c>
      <c r="E57" s="190"/>
      <c r="F57" s="191" t="s">
        <v>122</v>
      </c>
      <c r="G57" s="205" t="str">
        <f>IF(Form_1040NR_2015!J27="","",Form_1040NR_2015!J27)</f>
        <v/>
      </c>
      <c r="H57" s="193"/>
      <c r="I57" s="193"/>
      <c r="J57" s="116"/>
    </row>
    <row r="58" spans="1:10" ht="28.5" x14ac:dyDescent="0.45">
      <c r="A58" s="188" t="s">
        <v>403</v>
      </c>
      <c r="B58" s="189" t="s">
        <v>176</v>
      </c>
      <c r="C58" s="189" t="s">
        <v>181</v>
      </c>
      <c r="D58" s="189" t="s">
        <v>177</v>
      </c>
      <c r="E58" s="190"/>
      <c r="F58" s="191" t="s">
        <v>122</v>
      </c>
      <c r="G58" s="205" t="str">
        <f>IF(Form_1040NR_2015!J28="","",Form_1040NR_2015!J28)</f>
        <v/>
      </c>
      <c r="H58" s="193"/>
      <c r="I58" s="193"/>
      <c r="J58" s="116"/>
    </row>
    <row r="59" spans="1:10" ht="28.5" x14ac:dyDescent="0.45">
      <c r="A59" s="188" t="s">
        <v>404</v>
      </c>
      <c r="B59" s="189" t="s">
        <v>176</v>
      </c>
      <c r="C59" s="189" t="s">
        <v>181</v>
      </c>
      <c r="D59" s="189" t="s">
        <v>177</v>
      </c>
      <c r="E59" s="190"/>
      <c r="F59" s="191" t="s">
        <v>122</v>
      </c>
      <c r="G59" s="205" t="str">
        <f>IF(Form_1040NR_2015!J29="","",Form_1040NR_2015!J29)</f>
        <v/>
      </c>
      <c r="H59" s="193"/>
      <c r="I59" s="193"/>
      <c r="J59" s="116"/>
    </row>
    <row r="60" spans="1:10" x14ac:dyDescent="0.45">
      <c r="A60" s="188" t="s">
        <v>43</v>
      </c>
      <c r="B60" s="189" t="s">
        <v>171</v>
      </c>
      <c r="C60" s="189" t="s">
        <v>178</v>
      </c>
      <c r="D60" s="189" t="s">
        <v>177</v>
      </c>
      <c r="E60" s="190" t="s">
        <v>177</v>
      </c>
      <c r="F60" s="191" t="s">
        <v>123</v>
      </c>
      <c r="G60" s="205" t="str">
        <f>IF(Form_1040NR_2015!J30="","",Form_1040NR_2015!J30)</f>
        <v>No</v>
      </c>
      <c r="H60" s="193"/>
      <c r="I60" s="193"/>
      <c r="J60" s="116"/>
    </row>
    <row r="61" spans="1:10" x14ac:dyDescent="0.45">
      <c r="A61" s="188" t="s">
        <v>44</v>
      </c>
      <c r="B61" s="189" t="s">
        <v>171</v>
      </c>
      <c r="C61" s="189" t="s">
        <v>179</v>
      </c>
      <c r="D61" s="189" t="s">
        <v>177</v>
      </c>
      <c r="E61" s="190" t="s">
        <v>180</v>
      </c>
      <c r="F61" s="191" t="s">
        <v>124</v>
      </c>
      <c r="G61" s="205" t="str">
        <f>IF(Form_1040NR_2015!J31="","",Form_1040NR_2015!J31)</f>
        <v>Yes</v>
      </c>
      <c r="H61" s="193"/>
      <c r="I61" s="193"/>
      <c r="J61" s="116"/>
    </row>
    <row r="62" spans="1:10" x14ac:dyDescent="0.45">
      <c r="A62" s="188" t="s">
        <v>45</v>
      </c>
      <c r="B62" s="189" t="s">
        <v>176</v>
      </c>
      <c r="C62" s="189"/>
      <c r="D62" s="189" t="s">
        <v>177</v>
      </c>
      <c r="E62" s="190" t="s">
        <v>184</v>
      </c>
      <c r="F62" s="191" t="s">
        <v>125</v>
      </c>
      <c r="G62" s="205" t="str">
        <f>IF(Form_1040NR_2015!J32="","",Form_1040NR_2015!J32)</f>
        <v/>
      </c>
      <c r="H62" s="193"/>
      <c r="I62" s="193"/>
      <c r="J62" s="116"/>
    </row>
    <row r="63" spans="1:10" x14ac:dyDescent="0.45">
      <c r="A63" s="188" t="s">
        <v>46</v>
      </c>
      <c r="B63" s="189" t="s">
        <v>171</v>
      </c>
      <c r="C63" s="189" t="s">
        <v>178</v>
      </c>
      <c r="D63" s="189" t="s">
        <v>177</v>
      </c>
      <c r="E63" s="190" t="s">
        <v>177</v>
      </c>
      <c r="F63" s="191" t="s">
        <v>126</v>
      </c>
      <c r="G63" s="205" t="str">
        <f>IF(Form_1040NR_2015!J33="","",Form_1040NR_2015!J33)</f>
        <v>No</v>
      </c>
      <c r="H63" s="193"/>
      <c r="I63" s="193"/>
      <c r="J63" s="116"/>
    </row>
    <row r="64" spans="1:10" x14ac:dyDescent="0.45">
      <c r="A64" s="188" t="s">
        <v>47</v>
      </c>
      <c r="B64" s="189" t="s">
        <v>171</v>
      </c>
      <c r="C64" s="189" t="s">
        <v>179</v>
      </c>
      <c r="D64" s="189" t="s">
        <v>177</v>
      </c>
      <c r="E64" s="190" t="s">
        <v>180</v>
      </c>
      <c r="F64" s="191" t="s">
        <v>127</v>
      </c>
      <c r="G64" s="205" t="str">
        <f>IF(Form_1040NR_2015!J34="","",Form_1040NR_2015!J34)</f>
        <v>Yes</v>
      </c>
      <c r="H64" s="193"/>
      <c r="I64" s="193"/>
      <c r="J64" s="116"/>
    </row>
    <row r="65" spans="1:10" ht="28.5" x14ac:dyDescent="0.45">
      <c r="A65" s="351" t="s">
        <v>48</v>
      </c>
      <c r="B65" s="352" t="s">
        <v>171</v>
      </c>
      <c r="C65" s="352" t="s">
        <v>178</v>
      </c>
      <c r="D65" s="352" t="s">
        <v>177</v>
      </c>
      <c r="E65" s="353" t="s">
        <v>177</v>
      </c>
      <c r="F65" s="354" t="s">
        <v>128</v>
      </c>
      <c r="G65" s="355" t="str">
        <f>IF(G63="No","No",IF(Form_1040NR_2015!J35="","",Form_1040NR_2015!J35))</f>
        <v>No</v>
      </c>
      <c r="J65" s="116"/>
    </row>
    <row r="66" spans="1:10" ht="28.5" x14ac:dyDescent="0.45">
      <c r="A66" s="351" t="s">
        <v>49</v>
      </c>
      <c r="B66" s="352" t="s">
        <v>171</v>
      </c>
      <c r="C66" s="352" t="s">
        <v>179</v>
      </c>
      <c r="D66" s="352" t="s">
        <v>177</v>
      </c>
      <c r="E66" s="353" t="s">
        <v>180</v>
      </c>
      <c r="F66" s="354" t="s">
        <v>128</v>
      </c>
      <c r="G66" s="355" t="str">
        <f>IF(G63="No","No",IF(Form_1040NR_2015!J36="","",Form_1040NR_2015!J36))</f>
        <v>No</v>
      </c>
      <c r="J66" s="116"/>
    </row>
    <row r="67" spans="1:10" x14ac:dyDescent="0.45">
      <c r="A67" s="188" t="s">
        <v>50</v>
      </c>
      <c r="B67" s="189" t="s">
        <v>171</v>
      </c>
      <c r="C67" s="189" t="s">
        <v>178</v>
      </c>
      <c r="D67" s="189" t="s">
        <v>177</v>
      </c>
      <c r="E67" s="190" t="s">
        <v>177</v>
      </c>
      <c r="F67" s="191" t="s">
        <v>129</v>
      </c>
      <c r="G67" s="205" t="str">
        <f>IF(Form_1040NR_2015!J37="","",Form_1040NR_2015!J37)</f>
        <v>No</v>
      </c>
    </row>
    <row r="68" spans="1:10" x14ac:dyDescent="0.45">
      <c r="A68" s="188" t="s">
        <v>51</v>
      </c>
      <c r="B68" s="189" t="s">
        <v>171</v>
      </c>
      <c r="C68" s="189" t="s">
        <v>179</v>
      </c>
      <c r="D68" s="189" t="s">
        <v>177</v>
      </c>
      <c r="E68" s="190" t="s">
        <v>180</v>
      </c>
      <c r="F68" s="191" t="s">
        <v>130</v>
      </c>
      <c r="G68" s="205" t="str">
        <f>IF(Form_1040NR_2015!J38="","",Form_1040NR_2015!J38)</f>
        <v>Yes</v>
      </c>
    </row>
    <row r="69" spans="1:10" x14ac:dyDescent="0.45">
      <c r="A69" s="351" t="s">
        <v>52</v>
      </c>
      <c r="B69" s="352" t="s">
        <v>171</v>
      </c>
      <c r="C69" s="352" t="s">
        <v>178</v>
      </c>
      <c r="D69" s="352" t="s">
        <v>177</v>
      </c>
      <c r="E69" s="353" t="s">
        <v>177</v>
      </c>
      <c r="F69" s="354" t="s">
        <v>131</v>
      </c>
      <c r="G69" s="355" t="str">
        <f>IF(G67="No","No",IF(Form_1040NR_2015!J39="","",Form_1040NR_2015!J39))</f>
        <v>No</v>
      </c>
    </row>
    <row r="70" spans="1:10" x14ac:dyDescent="0.45">
      <c r="A70" s="351" t="s">
        <v>53</v>
      </c>
      <c r="B70" s="352" t="s">
        <v>171</v>
      </c>
      <c r="C70" s="352" t="s">
        <v>179</v>
      </c>
      <c r="D70" s="352" t="s">
        <v>177</v>
      </c>
      <c r="E70" s="353" t="s">
        <v>180</v>
      </c>
      <c r="F70" s="354" t="s">
        <v>132</v>
      </c>
      <c r="G70" s="355" t="str">
        <f>IF(G67="No","No",IF(Form_1040NR_2015!J40="","",Form_1040NR_2015!J40))</f>
        <v>No</v>
      </c>
    </row>
    <row r="71" spans="1:10" x14ac:dyDescent="0.45">
      <c r="A71" s="188" t="s">
        <v>0</v>
      </c>
      <c r="B71" s="189" t="s">
        <v>176</v>
      </c>
      <c r="C71" s="189"/>
      <c r="D71" s="189" t="s">
        <v>177</v>
      </c>
      <c r="E71" s="190" t="s">
        <v>172</v>
      </c>
      <c r="F71" s="191" t="s">
        <v>133</v>
      </c>
      <c r="G71" s="205" t="str">
        <f>UPPER(General!C20)</f>
        <v/>
      </c>
    </row>
    <row r="72" spans="1:10" x14ac:dyDescent="0.45">
      <c r="A72" s="184" t="s">
        <v>1</v>
      </c>
      <c r="B72" s="178" t="s">
        <v>176</v>
      </c>
      <c r="C72" s="178"/>
      <c r="D72" s="178" t="s">
        <v>177</v>
      </c>
      <c r="E72" s="185" t="s">
        <v>189</v>
      </c>
      <c r="F72" s="186" t="s">
        <v>134</v>
      </c>
      <c r="G72" s="177">
        <f>VLOOKUP(E71,Lists!L3:M24,2,FALSE)</f>
        <v>11</v>
      </c>
      <c r="H72" s="178"/>
      <c r="I72" s="178"/>
    </row>
    <row r="73" spans="1:10" x14ac:dyDescent="0.45">
      <c r="A73" s="295" t="s">
        <v>2</v>
      </c>
      <c r="B73" s="294" t="s">
        <v>176</v>
      </c>
      <c r="C73" s="294"/>
      <c r="D73" s="294" t="s">
        <v>177</v>
      </c>
      <c r="E73" s="296" t="s">
        <v>190</v>
      </c>
      <c r="F73" s="297" t="s">
        <v>135</v>
      </c>
      <c r="G73" s="293" t="s">
        <v>423</v>
      </c>
      <c r="H73" s="294" t="s">
        <v>362</v>
      </c>
      <c r="I73" s="294" t="s">
        <v>363</v>
      </c>
    </row>
    <row r="74" spans="1:10" x14ac:dyDescent="0.45">
      <c r="A74" s="184" t="s">
        <v>3</v>
      </c>
      <c r="B74" s="178" t="s">
        <v>176</v>
      </c>
      <c r="C74" s="178"/>
      <c r="D74" s="178" t="s">
        <v>177</v>
      </c>
      <c r="E74" s="185" t="s">
        <v>191</v>
      </c>
      <c r="F74" s="186" t="s">
        <v>136</v>
      </c>
      <c r="G74" s="255" t="str">
        <f>$G$18 &amp; "." &amp; $G$19</f>
        <v>0.0</v>
      </c>
      <c r="H74" s="178" t="s">
        <v>362</v>
      </c>
      <c r="I74" s="178" t="s">
        <v>363</v>
      </c>
    </row>
    <row r="75" spans="1:10" x14ac:dyDescent="0.45">
      <c r="A75" s="184" t="s">
        <v>4</v>
      </c>
      <c r="B75" s="178" t="s">
        <v>176</v>
      </c>
      <c r="C75" s="178"/>
      <c r="D75" s="178" t="s">
        <v>177</v>
      </c>
      <c r="E75" s="185" t="s">
        <v>191</v>
      </c>
      <c r="F75" s="186" t="s">
        <v>137</v>
      </c>
      <c r="G75" s="255" t="str">
        <f>$G$18 &amp; "." &amp; $G$19</f>
        <v>0.0</v>
      </c>
      <c r="H75" s="178" t="s">
        <v>362</v>
      </c>
      <c r="I75" s="178" t="s">
        <v>363</v>
      </c>
    </row>
    <row r="76" spans="1:10" x14ac:dyDescent="0.45">
      <c r="A76" s="188" t="s">
        <v>54</v>
      </c>
      <c r="B76" s="189" t="s">
        <v>171</v>
      </c>
      <c r="C76" s="189" t="s">
        <v>178</v>
      </c>
      <c r="D76" s="189" t="s">
        <v>177</v>
      </c>
      <c r="E76" s="190" t="s">
        <v>177</v>
      </c>
      <c r="F76" s="191" t="s">
        <v>138</v>
      </c>
      <c r="G76" s="205" t="str">
        <f>IF(Form_1040NR_2015!J41="","",Form_1040NR_2015!J41)</f>
        <v>No</v>
      </c>
    </row>
    <row r="77" spans="1:10" x14ac:dyDescent="0.45">
      <c r="A77" s="188" t="s">
        <v>55</v>
      </c>
      <c r="B77" s="189" t="s">
        <v>171</v>
      </c>
      <c r="C77" s="189" t="s">
        <v>179</v>
      </c>
      <c r="D77" s="189" t="s">
        <v>177</v>
      </c>
      <c r="E77" s="190" t="s">
        <v>180</v>
      </c>
      <c r="F77" s="191" t="s">
        <v>138</v>
      </c>
      <c r="G77" s="205" t="str">
        <f>IF(Form_1040NR_2015!J42="","",Form_1040NR_2015!J42)</f>
        <v>Yes</v>
      </c>
    </row>
    <row r="78" spans="1:10" x14ac:dyDescent="0.45">
      <c r="A78" s="188" t="s">
        <v>56</v>
      </c>
      <c r="B78" s="189" t="s">
        <v>171</v>
      </c>
      <c r="C78" s="189" t="s">
        <v>178</v>
      </c>
      <c r="D78" s="189" t="s">
        <v>177</v>
      </c>
      <c r="E78" s="190" t="s">
        <v>177</v>
      </c>
      <c r="F78" s="191" t="s">
        <v>139</v>
      </c>
      <c r="G78" s="205" t="str">
        <f>IF(Form_1040NR_2015!J43="","",Form_1040NR_2015!J43)</f>
        <v>No</v>
      </c>
    </row>
    <row r="79" spans="1:10" x14ac:dyDescent="0.45">
      <c r="A79" s="188" t="s">
        <v>57</v>
      </c>
      <c r="B79" s="189" t="s">
        <v>171</v>
      </c>
      <c r="C79" s="189" t="s">
        <v>179</v>
      </c>
      <c r="D79" s="189" t="s">
        <v>177</v>
      </c>
      <c r="E79" s="190" t="s">
        <v>180</v>
      </c>
      <c r="F79" s="191" t="s">
        <v>139</v>
      </c>
      <c r="G79" s="205" t="str">
        <f>IF(Form_1040NR_2015!J44="","",Form_1040NR_2015!J44)</f>
        <v>Yes</v>
      </c>
    </row>
    <row r="80" spans="1:10" x14ac:dyDescent="0.45">
      <c r="A80" s="194" t="s">
        <v>394</v>
      </c>
      <c r="H80" s="193"/>
      <c r="I80" s="193"/>
    </row>
    <row r="81" spans="1:9" x14ac:dyDescent="0.45">
      <c r="A81" s="194" t="s">
        <v>395</v>
      </c>
      <c r="H81" s="193"/>
      <c r="I81" s="193"/>
    </row>
    <row r="82" spans="1:9" x14ac:dyDescent="0.45">
      <c r="A82" s="194" t="s">
        <v>396</v>
      </c>
      <c r="H82" s="193"/>
      <c r="I82" s="193"/>
    </row>
    <row r="83" spans="1:9" x14ac:dyDescent="0.45">
      <c r="A83" s="194" t="s">
        <v>331</v>
      </c>
    </row>
    <row r="84" spans="1:9" x14ac:dyDescent="0.45">
      <c r="A84" s="194" t="s">
        <v>335</v>
      </c>
    </row>
  </sheetData>
  <sheetProtection password="DA43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4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" width="10" style="174" customWidth="1"/>
    <col min="2" max="2" width="12.1328125" style="276" bestFit="1" customWidth="1"/>
  </cols>
  <sheetData>
    <row r="1" spans="1:2" s="278" customFormat="1" x14ac:dyDescent="0.45">
      <c r="A1" s="170" t="s">
        <v>165</v>
      </c>
      <c r="B1" s="277" t="s">
        <v>420</v>
      </c>
    </row>
    <row r="2" spans="1:2" x14ac:dyDescent="0.45">
      <c r="A2" s="174">
        <v>2015</v>
      </c>
      <c r="B2" s="276">
        <v>1.4821</v>
      </c>
    </row>
    <row r="3" spans="1:2" x14ac:dyDescent="0.45">
      <c r="A3" s="174">
        <v>2016</v>
      </c>
      <c r="B3" s="276">
        <v>1.2342</v>
      </c>
    </row>
    <row r="4" spans="1:2" x14ac:dyDescent="0.45">
      <c r="A4" s="174">
        <v>2017</v>
      </c>
      <c r="B4" s="276">
        <v>1.3502000000000001</v>
      </c>
    </row>
    <row r="5" spans="1:2" x14ac:dyDescent="0.45">
      <c r="A5" s="174">
        <v>2018</v>
      </c>
      <c r="B5" s="276">
        <v>1.2686999999999999</v>
      </c>
    </row>
    <row r="6" spans="1:2" x14ac:dyDescent="0.45">
      <c r="A6" s="174">
        <v>2019</v>
      </c>
      <c r="B6" s="276">
        <v>0</v>
      </c>
    </row>
    <row r="7" spans="1:2" x14ac:dyDescent="0.45">
      <c r="A7" s="174">
        <v>2020</v>
      </c>
      <c r="B7" s="276">
        <v>0</v>
      </c>
    </row>
    <row r="8" spans="1:2" x14ac:dyDescent="0.45">
      <c r="A8" s="174">
        <v>2021</v>
      </c>
      <c r="B8" s="276">
        <v>0</v>
      </c>
    </row>
    <row r="9" spans="1:2" x14ac:dyDescent="0.45">
      <c r="A9" s="174">
        <v>2022</v>
      </c>
      <c r="B9" s="276">
        <v>0</v>
      </c>
    </row>
    <row r="10" spans="1:2" x14ac:dyDescent="0.45">
      <c r="A10" s="174">
        <v>2023</v>
      </c>
      <c r="B10" s="276">
        <v>0</v>
      </c>
    </row>
    <row r="11" spans="1:2" x14ac:dyDescent="0.45">
      <c r="A11" s="174">
        <v>2024</v>
      </c>
      <c r="B11" s="276">
        <v>0</v>
      </c>
    </row>
    <row r="12" spans="1:2" x14ac:dyDescent="0.45">
      <c r="A12" s="174">
        <v>2025</v>
      </c>
      <c r="B12" s="276">
        <v>0</v>
      </c>
    </row>
    <row r="13" spans="1:2" x14ac:dyDescent="0.45">
      <c r="A13" s="174">
        <v>2026</v>
      </c>
      <c r="B13" s="276">
        <v>0</v>
      </c>
    </row>
    <row r="14" spans="1:2" x14ac:dyDescent="0.45">
      <c r="A14" s="174">
        <v>2027</v>
      </c>
      <c r="B14" s="276">
        <v>0</v>
      </c>
    </row>
  </sheetData>
  <sheetProtection password="DA43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80</vt:i4>
      </vt:variant>
    </vt:vector>
  </HeadingPairs>
  <TitlesOfParts>
    <vt:vector size="96" baseType="lpstr">
      <vt:lpstr>General</vt:lpstr>
      <vt:lpstr>Bank_Accounts_2018</vt:lpstr>
      <vt:lpstr>Form_1040NR_2018</vt:lpstr>
      <vt:lpstr>1040NR_Fields_2018</vt:lpstr>
      <vt:lpstr>Form_W7</vt:lpstr>
      <vt:lpstr>Lists</vt:lpstr>
      <vt:lpstr>Bank_Accounts_2017</vt:lpstr>
      <vt:lpstr>Form_1040NR_2017</vt:lpstr>
      <vt:lpstr>1040NR_Fields_2017</vt:lpstr>
      <vt:lpstr>Bank_Accounts_2016</vt:lpstr>
      <vt:lpstr>Form_1040NR_2016</vt:lpstr>
      <vt:lpstr>1040NR_Fields_2016</vt:lpstr>
      <vt:lpstr>Bank_Accounts_2015</vt:lpstr>
      <vt:lpstr>Form_1040NR_2015</vt:lpstr>
      <vt:lpstr>1040NR_Fields_2015</vt:lpstr>
      <vt:lpstr>Exchange_Rates</vt:lpstr>
      <vt:lpstr>ApplicantsAddress1Field</vt:lpstr>
      <vt:lpstr>ApplicantsAddress2Field</vt:lpstr>
      <vt:lpstr>CitizenshipField</vt:lpstr>
      <vt:lpstr>CityAndStateField</vt:lpstr>
      <vt:lpstr>CityField</vt:lpstr>
      <vt:lpstr>CollegeUniField</vt:lpstr>
      <vt:lpstr>CountryField</vt:lpstr>
      <vt:lpstr>CourtAppointedField</vt:lpstr>
      <vt:lpstr>DateOfEntryField</vt:lpstr>
      <vt:lpstr>DependantDetailField</vt:lpstr>
      <vt:lpstr>DependantField</vt:lpstr>
      <vt:lpstr>DependantSpouseField</vt:lpstr>
      <vt:lpstr>DOBField</vt:lpstr>
      <vt:lpstr>DriversLicenceField</vt:lpstr>
      <vt:lpstr>EINField</vt:lpstr>
      <vt:lpstr>ExpDateField</vt:lpstr>
      <vt:lpstr>FemaleField</vt:lpstr>
      <vt:lpstr>FirstName1Field</vt:lpstr>
      <vt:lpstr>FirstName2Field</vt:lpstr>
      <vt:lpstr>ForiegnAddress1Field</vt:lpstr>
      <vt:lpstr>ForiegnAddress2Field</vt:lpstr>
      <vt:lpstr>ForiegnTaxIdField</vt:lpstr>
      <vt:lpstr>IRSNField1</vt:lpstr>
      <vt:lpstr>IRSNField2</vt:lpstr>
      <vt:lpstr>IRSNField3</vt:lpstr>
      <vt:lpstr>IRSNField4</vt:lpstr>
      <vt:lpstr>IRSNField5</vt:lpstr>
      <vt:lpstr>IRSNField6</vt:lpstr>
      <vt:lpstr>IRSNField7</vt:lpstr>
      <vt:lpstr>IRSNField8</vt:lpstr>
      <vt:lpstr>IRSNField9</vt:lpstr>
      <vt:lpstr>IssuedByField</vt:lpstr>
      <vt:lpstr>IssuedFirstNameField</vt:lpstr>
      <vt:lpstr>IssuedLastNameField</vt:lpstr>
      <vt:lpstr>IssuedMiddleNameField</vt:lpstr>
      <vt:lpstr>ITINExistingField</vt:lpstr>
      <vt:lpstr>ITINField1</vt:lpstr>
      <vt:lpstr>ITINField2</vt:lpstr>
      <vt:lpstr>ITINField3</vt:lpstr>
      <vt:lpstr>ITINField4</vt:lpstr>
      <vt:lpstr>ITINField5</vt:lpstr>
      <vt:lpstr>ITINField6</vt:lpstr>
      <vt:lpstr>ITINField7</vt:lpstr>
      <vt:lpstr>ITINField8</vt:lpstr>
      <vt:lpstr>ITINField9</vt:lpstr>
      <vt:lpstr>ITINNewField</vt:lpstr>
      <vt:lpstr>LastName1Field</vt:lpstr>
      <vt:lpstr>LastName2Field</vt:lpstr>
      <vt:lpstr>LengthOfStayField</vt:lpstr>
      <vt:lpstr>MaleField</vt:lpstr>
      <vt:lpstr>MiddleName1Field</vt:lpstr>
      <vt:lpstr>MiddleName2Field</vt:lpstr>
      <vt:lpstr>NameAndTitleField</vt:lpstr>
      <vt:lpstr>NameOfCompanyField</vt:lpstr>
      <vt:lpstr>NameOfDelegateField</vt:lpstr>
      <vt:lpstr>NoDontKnowField</vt:lpstr>
      <vt:lpstr>NonResidentExceptionField</vt:lpstr>
      <vt:lpstr>NonResidentField</vt:lpstr>
      <vt:lpstr>NonResidentITINField</vt:lpstr>
      <vt:lpstr>NumberField</vt:lpstr>
      <vt:lpstr>OfficeCodeField</vt:lpstr>
      <vt:lpstr>OtherDetailField</vt:lpstr>
      <vt:lpstr>OtherField</vt:lpstr>
      <vt:lpstr>OtherInstuctionsDetailField</vt:lpstr>
      <vt:lpstr>OtherInstuctionsField</vt:lpstr>
      <vt:lpstr>ParentField</vt:lpstr>
      <vt:lpstr>PassportField</vt:lpstr>
      <vt:lpstr>PhoneNoField</vt:lpstr>
      <vt:lpstr>PowerOfAttorneyField</vt:lpstr>
      <vt:lpstr>PTINField</vt:lpstr>
      <vt:lpstr>ResidentSpouseDetailField</vt:lpstr>
      <vt:lpstr>ResidentSpouseField</vt:lpstr>
      <vt:lpstr>SignatureFaxField</vt:lpstr>
      <vt:lpstr>SignaturePhoneField</vt:lpstr>
      <vt:lpstr>TreatyArticleField</vt:lpstr>
      <vt:lpstr>TreatyCountryField</vt:lpstr>
      <vt:lpstr>TypeOfVisaField</vt:lpstr>
      <vt:lpstr>USCISField</vt:lpstr>
      <vt:lpstr>USResidentField</vt:lpstr>
      <vt:lpstr>YesCompleteField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2019-01-07T12:34:34Z</dcterms:created>
  <dc:creator>uksoccer</dc:creator>
  <cp:lastModifiedBy>uksoccer</cp:lastModifiedBy>
  <dcterms:modified xsi:type="dcterms:W3CDTF">2019-02-06T15:44:55Z</dcterms:modified>
</cp:coreProperties>
</file>